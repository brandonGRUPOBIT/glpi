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ánLoza\Desktop\BIT-MAREAUTO\"/>
    </mc:Choice>
  </mc:AlternateContent>
  <xr:revisionPtr revIDLastSave="0" documentId="13_ncr:1_{340A62E9-7C2D-4BAE-9A70-58CD076BEC41}" xr6:coauthVersionLast="47" xr6:coauthVersionMax="47" xr10:uidLastSave="{00000000-0000-0000-0000-000000000000}"/>
  <bookViews>
    <workbookView xWindow="20370" yWindow="-120" windowWidth="20730" windowHeight="11040" tabRatio="817" firstSheet="2" activeTab="2" xr2:uid="{00000000-000D-0000-FFFF-FFFF00000000}"/>
  </bookViews>
  <sheets>
    <sheet name="CPU" sheetId="12" state="hidden" r:id="rId1"/>
    <sheet name="RAM" sheetId="13" state="hidden" r:id="rId2"/>
    <sheet name="Menú" sheetId="28" r:id="rId3"/>
    <sheet name="Inventario" sheetId="16" r:id="rId4"/>
    <sheet name="Metricas" sheetId="29" r:id="rId5"/>
    <sheet name="Métricas (GRÁFICA) JUL-AGO" sheetId="30" r:id="rId6"/>
    <sheet name="Backup VMs" sheetId="9" r:id="rId7"/>
    <sheet name="Backup general " sheetId="21" r:id="rId8"/>
    <sheet name="Status VPN" sheetId="5" state="hidden" r:id="rId9"/>
    <sheet name="BKP-AVADAZ01" sheetId="23" r:id="rId10"/>
    <sheet name="BKP-AVADFSAZ01" sheetId="24" r:id="rId11"/>
    <sheet name="BKP-AVADFSPAZ01" sheetId="25" r:id="rId12"/>
    <sheet name="BKP-AVRPA01" sheetId="26" r:id="rId13"/>
    <sheet name="SQL" sheetId="15" state="hidden" r:id="rId14"/>
  </sheets>
  <externalReferences>
    <externalReference r:id="rId15"/>
  </externalReferenc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30" l="1"/>
  <c r="D11" i="30"/>
  <c r="D12" i="30"/>
  <c r="D13" i="30"/>
  <c r="B10" i="30"/>
  <c r="C10" i="30"/>
  <c r="B11" i="30"/>
  <c r="C11" i="30"/>
  <c r="B12" i="30"/>
  <c r="C12" i="30"/>
  <c r="B13" i="30"/>
  <c r="C13" i="30"/>
</calcChain>
</file>

<file path=xl/sharedStrings.xml><?xml version="1.0" encoding="utf-8"?>
<sst xmlns="http://schemas.openxmlformats.org/spreadsheetml/2006/main" count="340" uniqueCount="128">
  <si>
    <t>Start time</t>
  </si>
  <si>
    <t>Status</t>
  </si>
  <si>
    <t>Available</t>
  </si>
  <si>
    <t>OK</t>
  </si>
  <si>
    <t>1 health event(s)</t>
  </si>
  <si>
    <t>VPN Gateway Prod</t>
  </si>
  <si>
    <t>VPN Gateway DevTestChatbot</t>
  </si>
  <si>
    <t>VPN Gateway DevTest</t>
  </si>
  <si>
    <t>Hostname</t>
  </si>
  <si>
    <t>SO</t>
  </si>
  <si>
    <t>Plantilla</t>
  </si>
  <si>
    <t>CPUs</t>
  </si>
  <si>
    <t>RAM</t>
  </si>
  <si>
    <t>WS 2016 Datacenter</t>
  </si>
  <si>
    <t>16 GB</t>
  </si>
  <si>
    <t>Running</t>
  </si>
  <si>
    <t>SQL Data</t>
  </si>
  <si>
    <t>SQL Log</t>
  </si>
  <si>
    <t>Other</t>
  </si>
  <si>
    <t>PCMSQLSERVER</t>
  </si>
  <si>
    <t>PCMWEBSERVER</t>
  </si>
  <si>
    <t xml:space="preserve">
Standard DS12 v2</t>
  </si>
  <si>
    <t>Standard B4ms</t>
  </si>
  <si>
    <t>28 GB</t>
  </si>
  <si>
    <t>Enero</t>
  </si>
  <si>
    <t>NAME</t>
  </si>
  <si>
    <t>STATUS</t>
  </si>
  <si>
    <t>RESOURCE GROUP</t>
  </si>
  <si>
    <t>LOCATION</t>
  </si>
  <si>
    <t>OPERATING SYSTEM</t>
  </si>
  <si>
    <t>SIZE</t>
  </si>
  <si>
    <t>PRIVATE IP ADDRESS</t>
  </si>
  <si>
    <t>PUBLIC IP ADDRESS</t>
  </si>
  <si>
    <t>DISKS</t>
  </si>
  <si>
    <t>Standard_B2s</t>
  </si>
  <si>
    <t>Windows</t>
  </si>
  <si>
    <t>Standard_B2ms</t>
  </si>
  <si>
    <t>Backup VMs</t>
  </si>
  <si>
    <t>NOMBRE VM</t>
  </si>
  <si>
    <t>NOMBRE BACKUP</t>
  </si>
  <si>
    <t>OBSERVACIÓN</t>
  </si>
  <si>
    <t>AVADAZ01</t>
  </si>
  <si>
    <t>AVADFSAZ01</t>
  </si>
  <si>
    <t>AVADFSPAZ01</t>
  </si>
  <si>
    <t>RG-MAREAUTO</t>
  </si>
  <si>
    <t>52.251.57.58</t>
  </si>
  <si>
    <t>52.254.16.217</t>
  </si>
  <si>
    <t>52.242.82.114</t>
  </si>
  <si>
    <t>52.242.82.92</t>
  </si>
  <si>
    <t>10.10.3.4</t>
  </si>
  <si>
    <t>10.10.3.6</t>
  </si>
  <si>
    <t>10.10.3.84</t>
  </si>
  <si>
    <t>10.10.3.7</t>
  </si>
  <si>
    <t>RG-Mareauto</t>
  </si>
  <si>
    <t>AVRPA01</t>
  </si>
  <si>
    <t>Creación: 10/03/2022</t>
  </si>
  <si>
    <t>East US 2</t>
  </si>
  <si>
    <t>TYPE</t>
  </si>
  <si>
    <t>SUBSCRIPTION</t>
  </si>
  <si>
    <t>BKP-AVADAZ01</t>
  </si>
  <si>
    <t>Recovery Services vault</t>
  </si>
  <si>
    <t>rg-mareauto</t>
  </si>
  <si>
    <t>Microsoft Azure</t>
  </si>
  <si>
    <t>BKP-AVADFSAZ01</t>
  </si>
  <si>
    <t>BKP-AVADFSPAZ01</t>
  </si>
  <si>
    <t>BKP-AVRPA01</t>
  </si>
  <si>
    <t>DETALLES DE BACKUPS EXISTENTES</t>
  </si>
  <si>
    <t>INVENTARIO VMs</t>
  </si>
  <si>
    <t>POLÍTICA DE BACKUP - RETENCIÓN</t>
  </si>
  <si>
    <t>Inventario</t>
  </si>
  <si>
    <t>BackupVMs</t>
  </si>
  <si>
    <t>Backup General</t>
  </si>
  <si>
    <t>ÍNDICE</t>
  </si>
  <si>
    <t>CPU AVG</t>
  </si>
  <si>
    <t>CPU MAX</t>
  </si>
  <si>
    <t>RAM AVG</t>
  </si>
  <si>
    <t>RAM MAX</t>
  </si>
  <si>
    <t>Métricas</t>
  </si>
  <si>
    <t>3.39%</t>
  </si>
  <si>
    <t>8 GB</t>
  </si>
  <si>
    <t>4 GB</t>
  </si>
  <si>
    <t>3.82%</t>
  </si>
  <si>
    <t>86.65%</t>
  </si>
  <si>
    <t>86.29%</t>
  </si>
  <si>
    <t>2.19%</t>
  </si>
  <si>
    <t>20.07%</t>
  </si>
  <si>
    <t>92.77%</t>
  </si>
  <si>
    <t>89.57%</t>
  </si>
  <si>
    <t>61.65%</t>
  </si>
  <si>
    <t>90.76%</t>
  </si>
  <si>
    <t>67.05%</t>
  </si>
  <si>
    <t>94.87%</t>
  </si>
  <si>
    <t>49.91%</t>
  </si>
  <si>
    <t>76.67%</t>
  </si>
  <si>
    <t>39.96%</t>
  </si>
  <si>
    <t>64.42%</t>
  </si>
  <si>
    <t>Standard_D2ads_v5</t>
  </si>
  <si>
    <t>JULIO</t>
  </si>
  <si>
    <t>AGOSTO</t>
  </si>
  <si>
    <t>78.77%</t>
  </si>
  <si>
    <t>3.66%</t>
  </si>
  <si>
    <t>51.69%</t>
  </si>
  <si>
    <t>2.98%</t>
  </si>
  <si>
    <t>72.46%</t>
  </si>
  <si>
    <t>67.95%</t>
  </si>
  <si>
    <t>13.45%</t>
  </si>
  <si>
    <t>99.97%</t>
  </si>
  <si>
    <t>35.34%</t>
  </si>
  <si>
    <t>65.06%</t>
  </si>
  <si>
    <t>28.49%</t>
  </si>
  <si>
    <t>94.08%</t>
  </si>
  <si>
    <t>43.33%</t>
  </si>
  <si>
    <t>76.22%</t>
  </si>
  <si>
    <t>60.68%</t>
  </si>
  <si>
    <t>78.49%</t>
  </si>
  <si>
    <t>AGO-% AVG3</t>
  </si>
  <si>
    <t>AGO-Max CPU4</t>
  </si>
  <si>
    <t>JUL-% AVG</t>
  </si>
  <si>
    <t>JUL-Max CPU</t>
  </si>
  <si>
    <t>JUL-% AVG2</t>
  </si>
  <si>
    <t>AGO-% AVG22</t>
  </si>
  <si>
    <t>AGO-Max RAM2</t>
  </si>
  <si>
    <t>JUL-Max RAM</t>
  </si>
  <si>
    <t>FECHA: 08/09/2022</t>
  </si>
  <si>
    <t>OBSERVACION</t>
  </si>
  <si>
    <t>ESTADO</t>
  </si>
  <si>
    <t>GRUPO RECURSOS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</si>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</sst>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b/>
      <sz val="10"/>
      <color rgb="FFC00000"/>
      <name val="Segoe UI"/>
      <family val="2"/>
    </font>
    <font>
      <b/>
      <sz val="10"/>
      <color theme="2" tint="-0.499984740745262"/>
      <name val="Segoe UI"/>
      <family val="2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 tint="0.499984740745262"/>
      <name val="Segoe UI"/>
      <family val="2"/>
    </font>
    <font>
      <b/>
      <sz val="10"/>
      <color theme="9"/>
      <name val="Segoe UI"/>
      <family val="2"/>
    </font>
    <font>
      <b/>
      <sz val="8"/>
      <color rgb="FF000000"/>
      <name val="Segoe UI"/>
      <family val="2"/>
    </font>
    <font>
      <b/>
      <sz val="10"/>
      <color theme="0"/>
      <name val="Segoe UI"/>
      <family val="2"/>
    </font>
    <font>
      <sz val="8"/>
      <color theme="1"/>
      <name val="Segoe UI"/>
      <family val="2"/>
    </font>
    <font>
      <sz val="8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8"/>
      <color theme="0"/>
      <name val="Segoe UI"/>
      <family val="2"/>
    </font>
    <font>
      <b/>
      <sz val="11"/>
      <color theme="1"/>
      <name val="Segoe Fluent Icons"/>
      <family val="1"/>
    </font>
    <font>
      <b/>
      <sz val="8"/>
      <color rgb="FFFFFFFF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2F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D951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9"/>
      </top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14" fontId="3" fillId="3" borderId="13" xfId="0" applyNumberFormat="1" applyFont="1" applyFill="1" applyBorder="1" applyAlignment="1">
      <alignment horizontal="left" vertical="center" indent="1"/>
    </xf>
    <xf numFmtId="0" fontId="4" fillId="3" borderId="13" xfId="0" applyFont="1" applyFill="1" applyBorder="1" applyAlignment="1">
      <alignment vertical="center" wrapText="1"/>
    </xf>
    <xf numFmtId="14" fontId="3" fillId="4" borderId="13" xfId="0" applyNumberFormat="1" applyFont="1" applyFill="1" applyBorder="1" applyAlignment="1">
      <alignment horizontal="left" vertical="center" indent="1"/>
    </xf>
    <xf numFmtId="0" fontId="5" fillId="3" borderId="13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vertical="center" wrapText="1"/>
    </xf>
    <xf numFmtId="0" fontId="1" fillId="6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0" fillId="0" borderId="16" xfId="0" applyFont="1" applyBorder="1" applyAlignment="1">
      <alignment horizontal="center" vertical="center" wrapText="1"/>
    </xf>
    <xf numFmtId="10" fontId="10" fillId="0" borderId="16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0" fontId="16" fillId="0" borderId="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2" borderId="0" xfId="0" applyFont="1" applyFill="1" applyBorder="1" applyAlignment="1"/>
    <xf numFmtId="0" fontId="19" fillId="0" borderId="0" xfId="0" applyFont="1" applyAlignment="1">
      <alignment horizontal="center"/>
    </xf>
    <xf numFmtId="0" fontId="20" fillId="0" borderId="0" xfId="1" applyFont="1"/>
    <xf numFmtId="0" fontId="12" fillId="9" borderId="2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1" fillId="11" borderId="23" xfId="0" applyFont="1" applyFill="1" applyBorder="1" applyAlignment="1">
      <alignment horizontal="center" vertical="center"/>
    </xf>
    <xf numFmtId="0" fontId="20" fillId="10" borderId="0" xfId="1" applyFont="1" applyFill="1" applyAlignment="1">
      <alignment horizontal="center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0" fontId="22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11" borderId="1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55"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ED951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8"/>
        <color rgb="FF000000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fill>
        <patternFill patternType="solid">
          <fgColor indexed="64"/>
          <bgColor rgb="FFED951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ED951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8"/>
        <color theme="10"/>
        <name val="Calibri"/>
        <family val="2"/>
        <scheme val="minor"/>
      </font>
    </dxf>
    <dxf>
      <font>
        <strike val="0"/>
        <outline val="0"/>
        <shadow val="0"/>
        <u/>
        <vertAlign val="baseline"/>
        <sz val="18"/>
        <color theme="10"/>
        <name val="Calibri"/>
        <family val="2"/>
        <scheme val="minor"/>
      </font>
    </dxf>
    <dxf>
      <font>
        <strike val="0"/>
        <outline val="0"/>
        <shadow val="0"/>
        <u/>
        <vertAlign val="baseline"/>
        <sz val="18"/>
        <color theme="10"/>
        <name val="Calibri"/>
        <family val="2"/>
        <scheme val="minor"/>
      </font>
      <fill>
        <patternFill patternType="solid">
          <fgColor indexed="64"/>
          <bgColor rgb="FFED951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9513"/>
      <color rgb="FFEE1E08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CPU </a:t>
            </a:r>
          </a:p>
          <a:p>
            <a:pPr>
              <a:defRPr/>
            </a:pPr>
            <a:r>
              <a:rPr lang="es-EC"/>
              <a:t>PROMEDIO vs MÁXIMO</a:t>
            </a:r>
          </a:p>
        </c:rich>
      </c:tx>
      <c:layout>
        <c:manualLayout>
          <c:xMode val="edge"/>
          <c:yMode val="edge"/>
          <c:x val="0.4067924965261695"/>
          <c:y val="4.08052554477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9.5354624256772394E-2"/>
          <c:y val="0.19227188081936686"/>
          <c:w val="0.88800979510609079"/>
          <c:h val="0.58290932907129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'Métricas (GRÁFICA) JUL-AGO'!$F$9</c:f>
              <c:strCache>
                <c:ptCount val="1"/>
                <c:pt idx="0">
                  <c:v>JUL-% AVG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JUL-AGO'!$F$10:$F$13</c:f>
              <c:numCache>
                <c:formatCode>0.00%</c:formatCode>
                <c:ptCount val="4"/>
                <c:pt idx="0">
                  <c:v>3.8199999999999998E-2</c:v>
                </c:pt>
                <c:pt idx="1">
                  <c:v>3.39E-2</c:v>
                </c:pt>
                <c:pt idx="2">
                  <c:v>2.1899999999999999E-2</c:v>
                </c:pt>
                <c:pt idx="3">
                  <c:v>0.20069999999999999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D-4A31-A7EB-016845E67466}"/>
            </c:ext>
          </c:extLst>
        </c:ser>
        <c:ser>
          <c:idx val="1"/>
          <c:order val="1"/>
          <c:tx>
            <c:strRef>
              <c:f>'Métricas (GRÁFICA) JUL-AGO'!$G$9</c:f>
              <c:strCache>
                <c:ptCount val="1"/>
                <c:pt idx="0">
                  <c:v>JUL-Max CPU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JUL-AGO'!$G$10:$G$13</c:f>
              <c:numCache>
                <c:formatCode>0.00%</c:formatCode>
                <c:ptCount val="4"/>
                <c:pt idx="0">
                  <c:v>0.86650000000000005</c:v>
                </c:pt>
                <c:pt idx="1">
                  <c:v>0.8629</c:v>
                </c:pt>
                <c:pt idx="2">
                  <c:v>0.89570000000000005</c:v>
                </c:pt>
                <c:pt idx="3">
                  <c:v>0.92769999999999997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D-4A31-A7EB-016845E67466}"/>
            </c:ext>
          </c:extLst>
        </c:ser>
        <c:ser>
          <c:idx val="2"/>
          <c:order val="2"/>
          <c:tx>
            <c:strRef>
              <c:f>'Métricas (GRÁFICA) JUL-AGO'!$H$9</c:f>
              <c:strCache>
                <c:ptCount val="1"/>
                <c:pt idx="0">
                  <c:v>AGO-% AVG3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JUL-AGO'!$H$10:$H$13</c:f>
              <c:numCache>
                <c:formatCode>0.00%</c:formatCode>
                <c:ptCount val="4"/>
                <c:pt idx="0">
                  <c:v>3.6600000000000001E-2</c:v>
                </c:pt>
                <c:pt idx="1">
                  <c:v>2.98E-2</c:v>
                </c:pt>
                <c:pt idx="2">
                  <c:v>0.13450000000000001</c:v>
                </c:pt>
                <c:pt idx="3">
                  <c:v>0.28489999999999999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0-4427-AA0D-07AD9010025A}"/>
            </c:ext>
          </c:extLst>
        </c:ser>
        <c:ser>
          <c:idx val="3"/>
          <c:order val="3"/>
          <c:tx>
            <c:strRef>
              <c:f>'Métricas (GRÁFICA) JUL-AGO'!$I$9</c:f>
              <c:strCache>
                <c:ptCount val="1"/>
                <c:pt idx="0">
                  <c:v>AGO-Max CPU4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JUL-AGO'!$I$10:$I$13</c:f>
              <c:numCache>
                <c:formatCode>0.00%</c:formatCode>
                <c:ptCount val="4"/>
                <c:pt idx="0">
                  <c:v>0.78769999999999996</c:v>
                </c:pt>
                <c:pt idx="1">
                  <c:v>0.72460000000000002</c:v>
                </c:pt>
                <c:pt idx="2">
                  <c:v>0.99970000000000003</c:v>
                </c:pt>
                <c:pt idx="3">
                  <c:v>0.94079999999999997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0-4427-AA0D-07AD901002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3654000"/>
        <c:axId val="1230315440"/>
      </c:barChart>
      <c:catAx>
        <c:axId val="12336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0315440"/>
        <c:crosses val="autoZero"/>
        <c:auto val="1"/>
        <c:lblAlgn val="ctr"/>
        <c:lblOffset val="100"/>
        <c:noMultiLvlLbl val="0"/>
      </c:catAx>
      <c:valAx>
        <c:axId val="12303154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3365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410677232463357E-2"/>
          <c:y val="4.4180727586351436E-2"/>
          <c:w val="0.41156667455417645"/>
          <c:h val="4.9429134253259455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RAM</a:t>
            </a:r>
            <a:endParaRPr lang="es-EC" baseline="0"/>
          </a:p>
          <a:p>
            <a:pPr>
              <a:defRPr/>
            </a:pPr>
            <a:r>
              <a:rPr lang="es-EC" baseline="0"/>
              <a:t>PROMEDIO vs MÁXIMO</a:t>
            </a:r>
            <a:endParaRPr lang="es-EC"/>
          </a:p>
        </c:rich>
      </c:tx>
      <c:layout>
        <c:manualLayout>
          <c:xMode val="edge"/>
          <c:yMode val="edge"/>
          <c:x val="0.38431689194470287"/>
          <c:y val="3.76191128913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'Métricas (GRÁFICA) JUL-AGO'!$K$9</c:f>
              <c:strCache>
                <c:ptCount val="1"/>
                <c:pt idx="0">
                  <c:v>JUL-% AVG2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JUL-AGO'!$K$10:$K$13</c:f>
              <c:numCache>
                <c:formatCode>0.00%</c:formatCode>
                <c:ptCount val="4"/>
                <c:pt idx="0">
                  <c:v>0.61650000000000005</c:v>
                </c:pt>
                <c:pt idx="1">
                  <c:v>0.67049999999999998</c:v>
                </c:pt>
                <c:pt idx="2">
                  <c:v>0.49909999999999999</c:v>
                </c:pt>
                <c:pt idx="3">
                  <c:v>0.39960000000000001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2-41B4-BD6A-7F5B2D235ED0}"/>
            </c:ext>
          </c:extLst>
        </c:ser>
        <c:ser>
          <c:idx val="1"/>
          <c:order val="1"/>
          <c:tx>
            <c:strRef>
              <c:f>'Métricas (GRÁFICA) JUL-AGO'!$L$9</c:f>
              <c:strCache>
                <c:ptCount val="1"/>
                <c:pt idx="0">
                  <c:v>JUL-Max RAM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JUL-AGO'!$L$10:$L$13</c:f>
              <c:numCache>
                <c:formatCode>0.00%</c:formatCode>
                <c:ptCount val="4"/>
                <c:pt idx="0">
                  <c:v>0.90759999999999996</c:v>
                </c:pt>
                <c:pt idx="1">
                  <c:v>0.94869999999999999</c:v>
                </c:pt>
                <c:pt idx="2">
                  <c:v>0.76670000000000005</c:v>
                </c:pt>
                <c:pt idx="3">
                  <c:v>0.64419999999999999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2-41B4-BD6A-7F5B2D235ED0}"/>
            </c:ext>
          </c:extLst>
        </c:ser>
        <c:ser>
          <c:idx val="2"/>
          <c:order val="2"/>
          <c:tx>
            <c:strRef>
              <c:f>'Métricas (GRÁFICA) JUL-AGO'!$M$9</c:f>
              <c:strCache>
                <c:ptCount val="1"/>
                <c:pt idx="0">
                  <c:v>AGO-% AVG22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JUL-AGO'!$M$10:$M$13</c:f>
              <c:numCache>
                <c:formatCode>0.00%</c:formatCode>
                <c:ptCount val="4"/>
                <c:pt idx="0">
                  <c:v>0.51690000000000003</c:v>
                </c:pt>
                <c:pt idx="1">
                  <c:v>0.67949999999999999</c:v>
                </c:pt>
                <c:pt idx="2">
                  <c:v>0.35339999999999999</c:v>
                </c:pt>
                <c:pt idx="3">
                  <c:v>0.43330000000000002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2-41B4-BD6A-7F5B2D235ED0}"/>
            </c:ext>
          </c:extLst>
        </c:ser>
        <c:ser>
          <c:idx val="3"/>
          <c:order val="3"/>
          <c:tx>
            <c:strRef>
              <c:f>'Métricas (GRÁFICA) JUL-AGO'!$N$9</c:f>
              <c:strCache>
                <c:ptCount val="1"/>
                <c:pt idx="0">
                  <c:v>AGO-Max RAM2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JUL-AGO'!$N$10:$N$13</c:f>
              <c:numCache>
                <c:formatCode>0.00%</c:formatCode>
                <c:ptCount val="4"/>
                <c:pt idx="0">
                  <c:v>0.60680000000000001</c:v>
                </c:pt>
                <c:pt idx="1">
                  <c:v>0.78490000000000004</c:v>
                </c:pt>
                <c:pt idx="2">
                  <c:v>0.65059999999999996</c:v>
                </c:pt>
                <c:pt idx="3">
                  <c:v>0.76219999999999999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E2-41B4-BD6A-7F5B2D235E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3654000"/>
        <c:axId val="1230315440"/>
      </c:barChart>
      <c:catAx>
        <c:axId val="12336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0315440"/>
        <c:crosses val="autoZero"/>
        <c:auto val="1"/>
        <c:lblAlgn val="ctr"/>
        <c:lblOffset val="100"/>
        <c:noMultiLvlLbl val="0"/>
      </c:catAx>
      <c:valAx>
        <c:axId val="123031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365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CPU </a:t>
            </a:r>
          </a:p>
          <a:p>
            <a:pPr>
              <a:defRPr/>
            </a:pPr>
            <a:r>
              <a:rPr lang="es-EC"/>
              <a:t>PROMEDIO vs MÁXIMO</a:t>
            </a:r>
          </a:p>
        </c:rich>
      </c:tx>
      <c:layout>
        <c:manualLayout>
          <c:xMode val="edge"/>
          <c:yMode val="edge"/>
          <c:x val="0.4067924965261695"/>
          <c:y val="4.08052554477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9.5354624256772394E-2"/>
          <c:y val="0.19227188081936686"/>
          <c:w val="0.88800979510609079"/>
          <c:h val="0.58290932907129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'Métricas (GRÁFICA) JUL-AGO'!$H$9</c:f>
              <c:strCache>
                <c:ptCount val="1"/>
                <c:pt idx="0">
                  <c:v>AGO-% AVG3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JUL-AGO'!$H$10:$H$13</c:f>
              <c:numCache>
                <c:formatCode>0.00%</c:formatCode>
                <c:ptCount val="4"/>
                <c:pt idx="0">
                  <c:v>3.6600000000000001E-2</c:v>
                </c:pt>
                <c:pt idx="1">
                  <c:v>2.98E-2</c:v>
                </c:pt>
                <c:pt idx="2">
                  <c:v>0.13450000000000001</c:v>
                </c:pt>
                <c:pt idx="3">
                  <c:v>0.28489999999999999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729-AB65-3EFD68CC96C4}"/>
            </c:ext>
          </c:extLst>
        </c:ser>
        <c:ser>
          <c:idx val="1"/>
          <c:order val="1"/>
          <c:tx>
            <c:strRef>
              <c:f>'Métricas (GRÁFICA) JUL-AGO'!$I$9</c:f>
              <c:strCache>
                <c:ptCount val="1"/>
                <c:pt idx="0">
                  <c:v>AGO-Max CPU4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JUL-AGO'!$I$10:$I$13</c:f>
              <c:numCache>
                <c:formatCode>0.00%</c:formatCode>
                <c:ptCount val="4"/>
                <c:pt idx="0">
                  <c:v>0.78769999999999996</c:v>
                </c:pt>
                <c:pt idx="1">
                  <c:v>0.72460000000000002</c:v>
                </c:pt>
                <c:pt idx="2">
                  <c:v>0.99970000000000003</c:v>
                </c:pt>
                <c:pt idx="3">
                  <c:v>0.94079999999999997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4-4729-AB65-3EFD68CC96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3654000"/>
        <c:axId val="1230315440"/>
      </c:barChart>
      <c:catAx>
        <c:axId val="12336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0315440"/>
        <c:crosses val="autoZero"/>
        <c:auto val="1"/>
        <c:lblAlgn val="ctr"/>
        <c:lblOffset val="100"/>
        <c:noMultiLvlLbl val="0"/>
      </c:catAx>
      <c:valAx>
        <c:axId val="12303154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3365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410677232463357E-2"/>
          <c:y val="4.4180727586351436E-2"/>
          <c:w val="0.41156667455417645"/>
          <c:h val="4.9429134253259455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RAM</a:t>
            </a:r>
            <a:endParaRPr lang="es-EC" baseline="0"/>
          </a:p>
          <a:p>
            <a:pPr>
              <a:defRPr/>
            </a:pPr>
            <a:r>
              <a:rPr lang="es-EC" baseline="0"/>
              <a:t>PROMEDIO vs MÁXIMO</a:t>
            </a:r>
            <a:endParaRPr lang="es-EC"/>
          </a:p>
        </c:rich>
      </c:tx>
      <c:layout>
        <c:manualLayout>
          <c:xMode val="edge"/>
          <c:yMode val="edge"/>
          <c:x val="0.38431689194470287"/>
          <c:y val="3.76191128913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'Métricas (GRÁFICA) JUL-AGO'!$M$9</c:f>
              <c:strCache>
                <c:ptCount val="1"/>
                <c:pt idx="0">
                  <c:v>AGO-% AVG22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JUL-AGO'!$M$10:$M$13</c:f>
              <c:numCache>
                <c:formatCode>0.00%</c:formatCode>
                <c:ptCount val="4"/>
                <c:pt idx="0">
                  <c:v>0.51690000000000003</c:v>
                </c:pt>
                <c:pt idx="1">
                  <c:v>0.67949999999999999</c:v>
                </c:pt>
                <c:pt idx="2">
                  <c:v>0.35339999999999999</c:v>
                </c:pt>
                <c:pt idx="3">
                  <c:v>0.43330000000000002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4C51-98C1-4077D594B773}"/>
            </c:ext>
          </c:extLst>
        </c:ser>
        <c:ser>
          <c:idx val="1"/>
          <c:order val="1"/>
          <c:tx>
            <c:strRef>
              <c:f>'Métricas (GRÁFICA) JUL-AGO'!$N$9</c:f>
              <c:strCache>
                <c:ptCount val="1"/>
                <c:pt idx="0">
                  <c:v>AGO-Max RAM2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'Métricas (GRÁFICA) JUL-AGO'!$B$10:$B$13</c:f>
              <c:strCache>
                <c:ptCount val="4"/>
                <c:pt idx="0">
                  <c:v>AVADAZ01</c:v>
                </c:pt>
                <c:pt idx="1">
                  <c:v>AVADFSAZ01</c:v>
                </c:pt>
                <c:pt idx="2">
                  <c:v>AVADFSPAZ01</c:v>
                </c:pt>
                <c:pt idx="3">
                  <c:v>AVRPA01</c:v>
                </c:pt>
              </c:strCache>
            </c:strRef>
          </c:cat>
          <c:val>
            <c:numRef>
              <c:f>'Métricas (GRÁFICA) JUL-AGO'!$N$10:$N$13</c:f>
              <c:numCache>
                <c:formatCode>0.00%</c:formatCode>
                <c:ptCount val="4"/>
                <c:pt idx="0">
                  <c:v>0.60680000000000001</c:v>
                </c:pt>
                <c:pt idx="1">
                  <c:v>0.78490000000000004</c:v>
                </c:pt>
                <c:pt idx="2">
                  <c:v>0.65059999999999996</c:v>
                </c:pt>
                <c:pt idx="3">
                  <c:v>0.76219999999999999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D-4C51-98C1-4077D594B7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3654000"/>
        <c:axId val="1230315440"/>
      </c:barChart>
      <c:catAx>
        <c:axId val="12336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0315440"/>
        <c:crosses val="autoZero"/>
        <c:auto val="1"/>
        <c:lblAlgn val="ctr"/>
        <c:lblOffset val="100"/>
        <c:noMultiLvlLbl val="0"/>
      </c:catAx>
      <c:valAx>
        <c:axId val="123031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365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2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2.png"/><Relationship Id="rId4" Type="http://schemas.openxmlformats.org/officeDocument/2006/relationships/image" Target="../media/image3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2.png"/><Relationship Id="rId4" Type="http://schemas.openxmlformats.org/officeDocument/2006/relationships/image" Target="../media/image3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2.png"/><Relationship Id="rId4" Type="http://schemas.openxmlformats.org/officeDocument/2006/relationships/image" Target="../media/image4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2.png"/><Relationship Id="rId4" Type="http://schemas.openxmlformats.org/officeDocument/2006/relationships/image" Target="../media/image4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142875</xdr:rowOff>
    </xdr:from>
    <xdr:to>
      <xdr:col>3</xdr:col>
      <xdr:colOff>171450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42875"/>
          <a:ext cx="2771774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238123</xdr:colOff>
      <xdr:row>0</xdr:row>
      <xdr:rowOff>51054</xdr:rowOff>
    </xdr:from>
    <xdr:to>
      <xdr:col>4</xdr:col>
      <xdr:colOff>142874</xdr:colOff>
      <xdr:row>5</xdr:row>
      <xdr:rowOff>247650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1BECA696-0B20-4ACA-85BF-8D3C891B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3" y="51054"/>
          <a:ext cx="5143501" cy="1149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79629</xdr:rowOff>
    </xdr:from>
    <xdr:to>
      <xdr:col>3</xdr:col>
      <xdr:colOff>981074</xdr:colOff>
      <xdr:row>4</xdr:row>
      <xdr:rowOff>142875</xdr:rowOff>
    </xdr:to>
    <xdr:pic>
      <xdr:nvPicPr>
        <xdr:cNvPr id="4" name="Imagen 3" descr="Productos Mareaut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4" y="79629"/>
          <a:ext cx="3438525" cy="825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79629</xdr:rowOff>
    </xdr:from>
    <xdr:to>
      <xdr:col>3</xdr:col>
      <xdr:colOff>981074</xdr:colOff>
      <xdr:row>4</xdr:row>
      <xdr:rowOff>142875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9B778997-6B8B-486E-B4FF-6F923AFF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4" y="79629"/>
          <a:ext cx="3438525" cy="825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150997</xdr:colOff>
      <xdr:row>14</xdr:row>
      <xdr:rowOff>47624</xdr:rowOff>
    </xdr:from>
    <xdr:to>
      <xdr:col>5</xdr:col>
      <xdr:colOff>172472</xdr:colOff>
      <xdr:row>24</xdr:row>
      <xdr:rowOff>114687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29EC656-795A-B36F-5470-9D0B701D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97" y="2714624"/>
          <a:ext cx="5193550" cy="1972063"/>
        </a:xfrm>
        <a:prstGeom prst="rect">
          <a:avLst/>
        </a:prstGeom>
      </xdr:spPr>
    </xdr:pic>
    <xdr:clientData/>
  </xdr:twoCellAnchor>
  <xdr:twoCellAnchor editAs="oneCell">
    <xdr:from>
      <xdr:col>5</xdr:col>
      <xdr:colOff>695325</xdr:colOff>
      <xdr:row>14</xdr:row>
      <xdr:rowOff>262</xdr:rowOff>
    </xdr:from>
    <xdr:to>
      <xdr:col>10</xdr:col>
      <xdr:colOff>475338</xdr:colOff>
      <xdr:row>24</xdr:row>
      <xdr:rowOff>161554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6799E94-C6F9-33BB-6E54-B38A72C06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0" y="2667262"/>
          <a:ext cx="5066388" cy="206629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26</xdr:row>
      <xdr:rowOff>28575</xdr:rowOff>
    </xdr:from>
    <xdr:to>
      <xdr:col>5</xdr:col>
      <xdr:colOff>533400</xdr:colOff>
      <xdr:row>36</xdr:row>
      <xdr:rowOff>178426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2730B40-F855-62A8-0825-C3AB0DDD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4981575"/>
          <a:ext cx="5553075" cy="2054851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26</xdr:row>
      <xdr:rowOff>9979</xdr:rowOff>
    </xdr:from>
    <xdr:to>
      <xdr:col>10</xdr:col>
      <xdr:colOff>732527</xdr:colOff>
      <xdr:row>37</xdr:row>
      <xdr:rowOff>94886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7D021DC-09E7-0C4F-F327-7C81B5B47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00725" y="4962979"/>
          <a:ext cx="5390252" cy="2180407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39</xdr:row>
      <xdr:rowOff>66675</xdr:rowOff>
    </xdr:from>
    <xdr:to>
      <xdr:col>5</xdr:col>
      <xdr:colOff>504825</xdr:colOff>
      <xdr:row>49</xdr:row>
      <xdr:rowOff>179255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4FFE967-5625-C621-46A3-918F4847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7496175"/>
          <a:ext cx="5429250" cy="2017580"/>
        </a:xfrm>
        <a:prstGeom prst="rect">
          <a:avLst/>
        </a:prstGeom>
      </xdr:spPr>
    </xdr:pic>
    <xdr:clientData/>
  </xdr:twoCellAnchor>
  <xdr:twoCellAnchor editAs="oneCell">
    <xdr:from>
      <xdr:col>5</xdr:col>
      <xdr:colOff>590550</xdr:colOff>
      <xdr:row>39</xdr:row>
      <xdr:rowOff>98101</xdr:rowOff>
    </xdr:from>
    <xdr:to>
      <xdr:col>11</xdr:col>
      <xdr:colOff>9525</xdr:colOff>
      <xdr:row>50</xdr:row>
      <xdr:rowOff>140159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23CF38A-7499-EBAF-4BF2-3382F17B2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62625" y="7527601"/>
          <a:ext cx="5467350" cy="213755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52</xdr:row>
      <xdr:rowOff>8284</xdr:rowOff>
    </xdr:from>
    <xdr:to>
      <xdr:col>5</xdr:col>
      <xdr:colOff>599151</xdr:colOff>
      <xdr:row>63</xdr:row>
      <xdr:rowOff>94890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C6A883E-2E0F-B8A9-470A-BCCD021C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449" y="9914284"/>
          <a:ext cx="5599777" cy="2182106"/>
        </a:xfrm>
        <a:prstGeom prst="rect">
          <a:avLst/>
        </a:prstGeom>
      </xdr:spPr>
    </xdr:pic>
    <xdr:clientData/>
  </xdr:twoCellAnchor>
  <xdr:twoCellAnchor editAs="oneCell">
    <xdr:from>
      <xdr:col>5</xdr:col>
      <xdr:colOff>602136</xdr:colOff>
      <xdr:row>51</xdr:row>
      <xdr:rowOff>180975</xdr:rowOff>
    </xdr:from>
    <xdr:to>
      <xdr:col>11</xdr:col>
      <xdr:colOff>113385</xdr:colOff>
      <xdr:row>63</xdr:row>
      <xdr:rowOff>37747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EB60653-DCB9-A945-1BBE-F6640226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74211" y="9896475"/>
          <a:ext cx="5559624" cy="2142772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69</xdr:row>
      <xdr:rowOff>70205</xdr:rowOff>
    </xdr:from>
    <xdr:to>
      <xdr:col>5</xdr:col>
      <xdr:colOff>246744</xdr:colOff>
      <xdr:row>79</xdr:row>
      <xdr:rowOff>85392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0B6C16C-8268-7EE4-0960-25E7C66B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5" y="13233755"/>
          <a:ext cx="5218794" cy="1920187"/>
        </a:xfrm>
        <a:prstGeom prst="rect">
          <a:avLst/>
        </a:prstGeom>
      </xdr:spPr>
    </xdr:pic>
    <xdr:clientData/>
  </xdr:twoCellAnchor>
  <xdr:twoCellAnchor editAs="oneCell">
    <xdr:from>
      <xdr:col>5</xdr:col>
      <xdr:colOff>411654</xdr:colOff>
      <xdr:row>68</xdr:row>
      <xdr:rowOff>180975</xdr:rowOff>
    </xdr:from>
    <xdr:to>
      <xdr:col>10</xdr:col>
      <xdr:colOff>608701</xdr:colOff>
      <xdr:row>79</xdr:row>
      <xdr:rowOff>85397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EF0B4DE-F497-EE1A-AFF0-1054EEE6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83729" y="13154025"/>
          <a:ext cx="5483422" cy="1999922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219074</xdr:colOff>
      <xdr:row>81</xdr:row>
      <xdr:rowOff>86595</xdr:rowOff>
    </xdr:from>
    <xdr:to>
      <xdr:col>5</xdr:col>
      <xdr:colOff>485936</xdr:colOff>
      <xdr:row>92</xdr:row>
      <xdr:rowOff>85725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D17F176-380C-8947-DEFF-A1E94AC1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074" y="15536145"/>
          <a:ext cx="5438937" cy="2094630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504824</xdr:colOff>
      <xdr:row>80</xdr:row>
      <xdr:rowOff>162088</xdr:rowOff>
    </xdr:from>
    <xdr:to>
      <xdr:col>11</xdr:col>
      <xdr:colOff>18148</xdr:colOff>
      <xdr:row>92</xdr:row>
      <xdr:rowOff>94890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34E0C47-DB92-2B33-4989-C43CEDAE2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76899" y="15421138"/>
          <a:ext cx="5561699" cy="221880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94</xdr:row>
      <xdr:rowOff>142875</xdr:rowOff>
    </xdr:from>
    <xdr:to>
      <xdr:col>5</xdr:col>
      <xdr:colOff>417753</xdr:colOff>
      <xdr:row>105</xdr:row>
      <xdr:rowOff>152400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5F74289-9FCF-D9A5-7AF8-70FB92DC0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550" y="18068925"/>
          <a:ext cx="5380278" cy="210502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94</xdr:row>
      <xdr:rowOff>19050</xdr:rowOff>
    </xdr:from>
    <xdr:to>
      <xdr:col>11</xdr:col>
      <xdr:colOff>95250</xdr:colOff>
      <xdr:row>105</xdr:row>
      <xdr:rowOff>87457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BED2130A-A956-B360-940F-76CAD84A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48325" y="17945100"/>
          <a:ext cx="5667375" cy="216390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108</xdr:row>
      <xdr:rowOff>180975</xdr:rowOff>
    </xdr:from>
    <xdr:to>
      <xdr:col>5</xdr:col>
      <xdr:colOff>258230</xdr:colOff>
      <xdr:row>119</xdr:row>
      <xdr:rowOff>113939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4007635-8DA8-5CC4-119C-E6961A6F2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8600" y="20774025"/>
          <a:ext cx="5201705" cy="2028464"/>
        </a:xfrm>
        <a:prstGeom prst="rect">
          <a:avLst/>
        </a:prstGeom>
      </xdr:spPr>
    </xdr:pic>
    <xdr:clientData/>
  </xdr:twoCellAnchor>
  <xdr:twoCellAnchor editAs="oneCell">
    <xdr:from>
      <xdr:col>5</xdr:col>
      <xdr:colOff>434015</xdr:colOff>
      <xdr:row>108</xdr:row>
      <xdr:rowOff>95250</xdr:rowOff>
    </xdr:from>
    <xdr:to>
      <xdr:col>10</xdr:col>
      <xdr:colOff>646784</xdr:colOff>
      <xdr:row>119</xdr:row>
      <xdr:rowOff>9190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59427DB-8E34-D1BD-61EE-AB23D2A0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06090" y="20688300"/>
          <a:ext cx="5499144" cy="2009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13</xdr:row>
      <xdr:rowOff>98634</xdr:rowOff>
    </xdr:from>
    <xdr:to>
      <xdr:col>10</xdr:col>
      <xdr:colOff>10583</xdr:colOff>
      <xdr:row>36</xdr:row>
      <xdr:rowOff>52917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22C6A1-F0C6-4615-979D-8B89F5CF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232834</xdr:colOff>
      <xdr:row>1</xdr:row>
      <xdr:rowOff>10583</xdr:rowOff>
    </xdr:from>
    <xdr:ext cx="3438525" cy="825246"/>
    <xdr:pic>
      <xdr:nvPicPr>
        <xdr:cNvPr id="4" name="Imagen 3" descr="Productos Mareauto">
          <a:extLst>
            <a:ext uri="{FF2B5EF4-FFF2-40B4-BE49-F238E27FC236}">
              <a16:creationId xmlns:a16="http://schemas.microsoft.com/office/drawing/2014/main" id="{C87B64D2-AD01-4338-8B5E-72637648F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4" y="201083"/>
          <a:ext cx="3438525" cy="825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232833</xdr:colOff>
      <xdr:row>37</xdr:row>
      <xdr:rowOff>10583</xdr:rowOff>
    </xdr:from>
    <xdr:to>
      <xdr:col>10</xdr:col>
      <xdr:colOff>42333</xdr:colOff>
      <xdr:row>58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E3E341-FD6D-4B8F-B7C3-93EE169A1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13</xdr:row>
      <xdr:rowOff>158750</xdr:rowOff>
    </xdr:from>
    <xdr:to>
      <xdr:col>21</xdr:col>
      <xdr:colOff>306916</xdr:colOff>
      <xdr:row>36</xdr:row>
      <xdr:rowOff>113033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9E81E5-97CC-4CE6-ACF8-2D7C29BED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264584</xdr:colOff>
      <xdr:row>37</xdr:row>
      <xdr:rowOff>63500</xdr:rowOff>
    </xdr:from>
    <xdr:to>
      <xdr:col>21</xdr:col>
      <xdr:colOff>179918</xdr:colOff>
      <xdr:row>58</xdr:row>
      <xdr:rowOff>179917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F1F61D-430D-437C-889C-D553F085A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2</xdr:col>
      <xdr:colOff>1676400</xdr:colOff>
      <xdr:row>5</xdr:row>
      <xdr:rowOff>82296</xdr:rowOff>
    </xdr:to>
    <xdr:pic>
      <xdr:nvPicPr>
        <xdr:cNvPr id="3" name="Imagen 2" descr="Productos Mareau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3438525" cy="825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13</xdr:row>
      <xdr:rowOff>76200</xdr:rowOff>
    </xdr:from>
    <xdr:to>
      <xdr:col>8</xdr:col>
      <xdr:colOff>325159</xdr:colOff>
      <xdr:row>16</xdr:row>
      <xdr:rowOff>47701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C199FC-031C-89D0-1D48-C33F34B38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2743200"/>
          <a:ext cx="9383434" cy="54300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16</xdr:row>
      <xdr:rowOff>28575</xdr:rowOff>
    </xdr:from>
    <xdr:to>
      <xdr:col>8</xdr:col>
      <xdr:colOff>306102</xdr:colOff>
      <xdr:row>17</xdr:row>
      <xdr:rowOff>123865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D0196C-B29F-0300-C81C-C32B9CF1F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3267075"/>
          <a:ext cx="9326277" cy="28579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17</xdr:row>
      <xdr:rowOff>66675</xdr:rowOff>
    </xdr:from>
    <xdr:to>
      <xdr:col>8</xdr:col>
      <xdr:colOff>277521</xdr:colOff>
      <xdr:row>19</xdr:row>
      <xdr:rowOff>85781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B8AE4B9-F571-EEDA-839A-A92DBD2F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3495675"/>
          <a:ext cx="9288171" cy="40010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18</xdr:row>
      <xdr:rowOff>180975</xdr:rowOff>
    </xdr:from>
    <xdr:to>
      <xdr:col>8</xdr:col>
      <xdr:colOff>306103</xdr:colOff>
      <xdr:row>20</xdr:row>
      <xdr:rowOff>104818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E40D819-733D-A27A-59B8-B0DBBA31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" y="3800475"/>
          <a:ext cx="9335803" cy="3048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269875</xdr:colOff>
      <xdr:row>4</xdr:row>
      <xdr:rowOff>114300</xdr:rowOff>
    </xdr:to>
    <xdr:pic>
      <xdr:nvPicPr>
        <xdr:cNvPr id="3" name="Imagen 2" descr="Productos Mareaut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3651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694403</xdr:colOff>
      <xdr:row>78</xdr:row>
      <xdr:rowOff>85071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9867900"/>
          <a:ext cx="7371428" cy="5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6</xdr:col>
      <xdr:colOff>637261</xdr:colOff>
      <xdr:row>161</xdr:row>
      <xdr:rowOff>189857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26022300"/>
          <a:ext cx="7314286" cy="5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0</xdr:rowOff>
    </xdr:from>
    <xdr:to>
      <xdr:col>6</xdr:col>
      <xdr:colOff>507670</xdr:colOff>
      <xdr:row>34</xdr:row>
      <xdr:rowOff>123825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2C4428D-95FF-8A8A-3BCE-AF75B0B3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1" y="1600200"/>
          <a:ext cx="7184694" cy="507682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35</xdr:row>
      <xdr:rowOff>66675</xdr:rowOff>
    </xdr:from>
    <xdr:to>
      <xdr:col>4</xdr:col>
      <xdr:colOff>162498</xdr:colOff>
      <xdr:row>48</xdr:row>
      <xdr:rowOff>19389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EFBCA29-4A9C-4995-3F06-A0E65809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6810375"/>
          <a:ext cx="4105848" cy="2429214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78</xdr:row>
      <xdr:rowOff>38100</xdr:rowOff>
    </xdr:from>
    <xdr:to>
      <xdr:col>4</xdr:col>
      <xdr:colOff>546</xdr:colOff>
      <xdr:row>90</xdr:row>
      <xdr:rowOff>162261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372392D-EB3F-AB71-EEA0-19F111A8E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15049500"/>
          <a:ext cx="3915321" cy="241016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92</xdr:row>
      <xdr:rowOff>123825</xdr:rowOff>
    </xdr:from>
    <xdr:to>
      <xdr:col>7</xdr:col>
      <xdr:colOff>267765</xdr:colOff>
      <xdr:row>120</xdr:row>
      <xdr:rowOff>48359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6DC734C-B820-23B8-6C42-8C66D9737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17878425"/>
          <a:ext cx="7630590" cy="5258534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121</xdr:row>
      <xdr:rowOff>0</xdr:rowOff>
    </xdr:from>
    <xdr:to>
      <xdr:col>3</xdr:col>
      <xdr:colOff>523875</xdr:colOff>
      <xdr:row>131</xdr:row>
      <xdr:rowOff>140061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4E1FBC9-F770-3A61-B621-6314191CE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1525" y="23279100"/>
          <a:ext cx="3419475" cy="2045061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162</xdr:row>
      <xdr:rowOff>104775</xdr:rowOff>
    </xdr:from>
    <xdr:to>
      <xdr:col>3</xdr:col>
      <xdr:colOff>838742</xdr:colOff>
      <xdr:row>175</xdr:row>
      <xdr:rowOff>19384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BEA129C-B11F-4860-38F6-19498549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9125" y="31270575"/>
          <a:ext cx="3886742" cy="23911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196761</xdr:colOff>
      <xdr:row>1</xdr:row>
      <xdr:rowOff>62605</xdr:rowOff>
    </xdr:from>
    <xdr:to>
      <xdr:col>3</xdr:col>
      <xdr:colOff>983446</xdr:colOff>
      <xdr:row>10</xdr:row>
      <xdr:rowOff>112153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61" y="250422"/>
          <a:ext cx="2387600" cy="1739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269875</xdr:colOff>
      <xdr:row>4</xdr:row>
      <xdr:rowOff>114300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3651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495300</xdr:colOff>
      <xdr:row>9</xdr:row>
      <xdr:rowOff>57150</xdr:rowOff>
    </xdr:from>
    <xdr:to>
      <xdr:col>13</xdr:col>
      <xdr:colOff>228062</xdr:colOff>
      <xdr:row>24</xdr:row>
      <xdr:rowOff>123459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1025" y="1847850"/>
          <a:ext cx="4304762" cy="29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123824</xdr:rowOff>
    </xdr:from>
    <xdr:to>
      <xdr:col>6</xdr:col>
      <xdr:colOff>608062</xdr:colOff>
      <xdr:row>26</xdr:row>
      <xdr:rowOff>172055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6F856-0818-CB34-9F28-0E444BD2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1533524"/>
          <a:ext cx="7246987" cy="36677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19050</xdr:rowOff>
    </xdr:from>
    <xdr:to>
      <xdr:col>6</xdr:col>
      <xdr:colOff>293884</xdr:colOff>
      <xdr:row>44</xdr:row>
      <xdr:rowOff>48163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2128FF-80FA-05C6-7902-94BF472B3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5238750"/>
          <a:ext cx="6970909" cy="32676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269875</xdr:colOff>
      <xdr:row>4</xdr:row>
      <xdr:rowOff>114300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3651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581025</xdr:colOff>
      <xdr:row>9</xdr:row>
      <xdr:rowOff>28575</xdr:rowOff>
    </xdr:from>
    <xdr:to>
      <xdr:col>13</xdr:col>
      <xdr:colOff>228073</xdr:colOff>
      <xdr:row>24</xdr:row>
      <xdr:rowOff>94884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1819275"/>
          <a:ext cx="4219048" cy="29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</xdr:row>
      <xdr:rowOff>123824</xdr:rowOff>
    </xdr:from>
    <xdr:to>
      <xdr:col>6</xdr:col>
      <xdr:colOff>688038</xdr:colOff>
      <xdr:row>28</xdr:row>
      <xdr:rowOff>114911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A71772-196B-A087-3971-7486F12F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1724024"/>
          <a:ext cx="7346013" cy="380108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29</xdr:row>
      <xdr:rowOff>114300</xdr:rowOff>
    </xdr:from>
    <xdr:to>
      <xdr:col>5</xdr:col>
      <xdr:colOff>645975</xdr:colOff>
      <xdr:row>44</xdr:row>
      <xdr:rowOff>181476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17B6325-9EC2-1D33-4C49-C9AA98BC8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5715000"/>
          <a:ext cx="6446700" cy="29246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269875</xdr:colOff>
      <xdr:row>4</xdr:row>
      <xdr:rowOff>114300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3651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447675</xdr:colOff>
      <xdr:row>9</xdr:row>
      <xdr:rowOff>57150</xdr:rowOff>
    </xdr:from>
    <xdr:to>
      <xdr:col>13</xdr:col>
      <xdr:colOff>161389</xdr:colOff>
      <xdr:row>24</xdr:row>
      <xdr:rowOff>123459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0" y="1847850"/>
          <a:ext cx="4285714" cy="29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80064</xdr:colOff>
      <xdr:row>8</xdr:row>
      <xdr:rowOff>9525</xdr:rowOff>
    </xdr:from>
    <xdr:to>
      <xdr:col>6</xdr:col>
      <xdr:colOff>420273</xdr:colOff>
      <xdr:row>27</xdr:row>
      <xdr:rowOff>57763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7C452-2EED-098A-8583-FE8AA14E3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6764" y="1609725"/>
          <a:ext cx="7017234" cy="366773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27</xdr:row>
      <xdr:rowOff>161924</xdr:rowOff>
    </xdr:from>
    <xdr:to>
      <xdr:col>6</xdr:col>
      <xdr:colOff>537465</xdr:colOff>
      <xdr:row>44</xdr:row>
      <xdr:rowOff>143381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E0AF86-7672-0CD7-5880-0F4E7713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5381624"/>
          <a:ext cx="7090665" cy="321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3</xdr:col>
      <xdr:colOff>269875</xdr:colOff>
      <xdr:row>4</xdr:row>
      <xdr:rowOff>114300</xdr:rowOff>
    </xdr:to>
    <xdr:pic>
      <xdr:nvPicPr>
        <xdr:cNvPr id="2" name="Imagen 1" descr="Productos Mareaut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36512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457200</xdr:colOff>
      <xdr:row>8</xdr:row>
      <xdr:rowOff>28575</xdr:rowOff>
    </xdr:from>
    <xdr:to>
      <xdr:col>13</xdr:col>
      <xdr:colOff>132819</xdr:colOff>
      <xdr:row>23</xdr:row>
      <xdr:rowOff>190123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1628775"/>
          <a:ext cx="4247619" cy="3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152400</xdr:rowOff>
    </xdr:from>
    <xdr:to>
      <xdr:col>6</xdr:col>
      <xdr:colOff>419100</xdr:colOff>
      <xdr:row>26</xdr:row>
      <xdr:rowOff>21634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FF527-C844-C634-711C-6009775B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1371600"/>
          <a:ext cx="7000875" cy="3679234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26</xdr:row>
      <xdr:rowOff>142874</xdr:rowOff>
    </xdr:from>
    <xdr:to>
      <xdr:col>6</xdr:col>
      <xdr:colOff>314325</xdr:colOff>
      <xdr:row>42</xdr:row>
      <xdr:rowOff>99475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F71850-D6FB-2AE9-1F32-92F5EE7F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76" y="5172074"/>
          <a:ext cx="6772274" cy="30046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180975</xdr:rowOff>
    </xdr:from>
    <xdr:to>
      <xdr:col>3</xdr:col>
      <xdr:colOff>609599</xdr:colOff>
      <xdr:row>5</xdr:row>
      <xdr:rowOff>47625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80975"/>
          <a:ext cx="2771774" cy="819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T-MAREAUTO/ENERO%202022/BIT-Mareauto-Check%20List-Ene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CPU"/>
      <sheetName val="RAM"/>
      <sheetName val="Inventario"/>
      <sheetName val="Backup VMs"/>
      <sheetName val="Backup SQL"/>
      <sheetName val="Status VPN"/>
      <sheetName val="Tareas"/>
      <sheetName val="Reuniones"/>
      <sheetName val="SQL"/>
      <sheetName val="Performance"/>
      <sheetName val="Hoja1"/>
      <sheetName val="SQLvm"/>
      <sheetName val="CPU 3 mes"/>
      <sheetName val="RAM 3 meses"/>
    </sheetNames>
    <sheetDataSet>
      <sheetData sheetId="0"/>
      <sheetData sheetId="1"/>
      <sheetData sheetId="2"/>
      <sheetData sheetId="3">
        <row r="9">
          <cell r="B9" t="str">
            <v>AVADAZ01</v>
          </cell>
          <cell r="F9" t="str">
            <v>Windows</v>
          </cell>
        </row>
        <row r="10">
          <cell r="B10" t="str">
            <v>AVADFSAZ01</v>
          </cell>
          <cell r="F10" t="str">
            <v>Windows</v>
          </cell>
        </row>
        <row r="11">
          <cell r="B11" t="str">
            <v>AVADFSPAZ01</v>
          </cell>
          <cell r="F11" t="str">
            <v>Windows</v>
          </cell>
        </row>
        <row r="12">
          <cell r="B12" t="str">
            <v>AVRPA01</v>
          </cell>
          <cell r="F12" t="str">
            <v>Windows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25E019-885D-4E7B-8402-B8B34B113EA2}" name="Tabla4" displayName="Tabla4" ref="C9:C17" totalsRowShown="0" headerRowDxfId="54" dataDxfId="53" headerRowCellStyle="Hipervínculo" dataCellStyle="Hipervínculo">
  <autoFilter ref="C9:C17" xr:uid="{A425E019-885D-4E7B-8402-B8B34B113EA2}"/>
  <tableColumns count="1">
    <tableColumn id="1" xr3:uid="{65FCDC84-F50F-40EC-B49E-61709CF99BAD}" name="ÍNDICE" dataDxfId="52" dataCellStyle="Hipervíncul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498731-1E02-4271-86CB-6DDDB75CBD7E}" name="Tabla3" displayName="Tabla3" ref="B8:J12" totalsRowShown="0" headerRowDxfId="51" dataDxfId="50">
  <autoFilter ref="B8:J12" xr:uid="{50498731-1E02-4271-86CB-6DDDB75CBD7E}"/>
  <tableColumns count="9">
    <tableColumn id="1" xr3:uid="{2815AD8D-3474-4ED2-BB75-6ECC5F651170}" name="NAME" dataDxfId="49"/>
    <tableColumn id="2" xr3:uid="{583953B8-73EC-472A-91F6-84C3471386F1}" name="STATUS" dataDxfId="48"/>
    <tableColumn id="3" xr3:uid="{A6A0E3F2-8E02-453C-906B-F2C2D71B9F2F}" name="RESOURCE GROUP" dataDxfId="47"/>
    <tableColumn id="4" xr3:uid="{579FE333-AF1F-4E7C-A243-E8FAE1E30E89}" name="LOCATION" dataDxfId="46"/>
    <tableColumn id="5" xr3:uid="{C8EDA4ED-8E4A-4D43-B8B3-C1F72A012F59}" name="OPERATING SYSTEM" dataDxfId="45"/>
    <tableColumn id="6" xr3:uid="{9491A4D3-2068-402E-AB49-2B98937BE565}" name="SIZE" dataDxfId="44"/>
    <tableColumn id="7" xr3:uid="{BF8FA4F2-F873-4B08-BF25-FB6E3D23047E}" name="PRIVATE IP ADDRESS" dataDxfId="43"/>
    <tableColumn id="8" xr3:uid="{274FB8D0-96EC-43B9-AD06-35B55FEEE07C}" name="PUBLIC IP ADDRESS" dataDxfId="42"/>
    <tableColumn id="9" xr3:uid="{62A2A557-3BB0-4D00-968C-0FAA74421062}" name="DISKS" dataDxf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68E529-EBB7-42D3-A2ED-531DADB1E397}" name="Tabla2" displayName="Tabla2" ref="B16:F20" totalsRowShown="0">
  <autoFilter ref="B16:F20" xr:uid="{C668E529-EBB7-42D3-A2ED-531DADB1E397}"/>
  <tableColumns count="5">
    <tableColumn id="1" xr3:uid="{18E566A7-A7D0-4429-9D12-FDAF5DA33F78}" name="NAME"/>
    <tableColumn id="2" xr3:uid="{26CF2E4A-D3ED-4941-B158-4CAFAEB30262}" name="TYPE"/>
    <tableColumn id="3" xr3:uid="{27F38E46-2245-426E-9646-F4FF0D803C03}" name="RESOURCE GROUP"/>
    <tableColumn id="4" xr3:uid="{D9EFFE16-DBCF-4E16-B250-D2C1BBD11D62}" name="LOCATION"/>
    <tableColumn id="5" xr3:uid="{1ECB1617-93C9-4006-B7D5-DBCB5C4346E1}" name="SUBSCRIPTION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619C7F-85E3-4058-810F-B27EF4F1FD03}" name="Tabla27" displayName="Tabla27" ref="B22:E26" totalsRowShown="0">
  <autoFilter ref="B22:E26" xr:uid="{76619C7F-85E3-4058-810F-B27EF4F1FD03}"/>
  <tableColumns count="4">
    <tableColumn id="1" xr3:uid="{C89771C4-C0B3-4F8A-BFAE-B6AD7422BD82}" name="NOMBRE VM"/>
    <tableColumn id="3" xr3:uid="{0D918375-B72D-455D-8DD3-ECB407DBB99F}" name="GRUPO RECURSOS"/>
    <tableColumn id="4" xr3:uid="{7EE98922-D85F-4337-908B-93740B549533}" name="ESTADO"/>
    <tableColumn id="5" xr3:uid="{D468DD3B-A375-4E3F-8D05-99925F92EC46}" name="OBSERVACION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A8019-6D50-4836-A678-6FBDCFFDEC29}" name="Tabla32" displayName="Tabla32" ref="B8:F12" totalsRowShown="0" headerRowDxfId="40" dataDxfId="39">
  <autoFilter ref="B8:F12" xr:uid="{50498731-1E02-4271-86CB-6DDDB75CBD7E}"/>
  <tableColumns count="5">
    <tableColumn id="1" xr3:uid="{547FDB2A-37DE-4CE1-9103-924164B55493}" name="NAME" dataDxfId="38"/>
    <tableColumn id="2" xr3:uid="{D43133FC-DE39-49FB-8B71-0A7ED47A78B9}" name="CPU AVG" dataDxfId="37"/>
    <tableColumn id="3" xr3:uid="{A3B13921-0D49-4D53-9125-0352104619DC}" name="CPU MAX" dataDxfId="36"/>
    <tableColumn id="4" xr3:uid="{D88DB4E0-00CB-4B06-8D7B-558B731E1764}" name="RAM AVG" dataDxfId="35"/>
    <tableColumn id="5" xr3:uid="{AD0D5158-B36B-402F-A5E4-A57E0FC9EA5E}" name="RAM MAX" dataDxfId="3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626D94-5B31-4B15-97B0-A768EC627AC1}" name="Tabla326" displayName="Tabla326" ref="H8:L12" totalsRowShown="0" headerRowDxfId="33" dataDxfId="32">
  <autoFilter ref="H8:L12" xr:uid="{46626D94-5B31-4B15-97B0-A768EC627AC1}"/>
  <tableColumns count="5">
    <tableColumn id="1" xr3:uid="{96025357-610D-45C4-B53E-4F29A52CFC59}" name="NAME" dataDxfId="31"/>
    <tableColumn id="2" xr3:uid="{2606F603-44AD-4B1C-A7FA-21B06F7AA045}" name="CPU AVG" dataDxfId="30"/>
    <tableColumn id="3" xr3:uid="{4F4AE23B-BE9C-45F9-B6B3-7B6BDB339798}" name="CPU MAX" dataDxfId="29"/>
    <tableColumn id="4" xr3:uid="{2D0E356B-71A3-4259-A03F-4F2305AEFE94}" name="RAM AVG" dataDxfId="28"/>
    <tableColumn id="5" xr3:uid="{E30D724F-C515-435E-BA4E-21B9B0410B6B}" name="RAM MAX" dataDxf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8599B0-1F32-4948-8CE3-DECF87D9B545}" name="Tabla5" displayName="Tabla5" ref="B9:N13" totalsRowShown="0" headerRowDxfId="26" dataDxfId="24" headerRowBorderDxfId="25" tableBorderDxfId="23" totalsRowBorderDxfId="22">
  <tableColumns count="13">
    <tableColumn id="1" xr3:uid="{A28130F7-17D3-4261-9362-F4CC64C98943}" name="Hostname" dataDxfId="21">
      <calculatedColumnFormula>[1]Inventario!B9</calculatedColumnFormula>
    </tableColumn>
    <tableColumn id="2" xr3:uid="{315C9758-30D2-4420-902B-F7AB6C09EA70}" name="SO" dataDxfId="20">
      <calculatedColumnFormula>[1]Inventario!F9</calculatedColumnFormula>
    </tableColumn>
    <tableColumn id="3" xr3:uid="{369D2C6E-9DF9-4184-AF00-6C84E65A73A9}" name="Plantilla" dataDxfId="19">
      <calculatedColumnFormula>Inventario!G9</calculatedColumnFormula>
    </tableColumn>
    <tableColumn id="4" xr3:uid="{0978B32D-9B17-432B-92AF-90BCEEEFAB2D}" name="CPUs" dataDxfId="18"/>
    <tableColumn id="11" xr3:uid="{2A510C8E-4966-44D1-A6B5-95B9DAFD9904}" name="JUL-% AVG" dataDxfId="17"/>
    <tableColumn id="10" xr3:uid="{9425C069-F4B1-42F0-AC23-07DC7C63C15E}" name="JUL-Max CPU" dataDxfId="16"/>
    <tableColumn id="5" xr3:uid="{E6B84DA6-F7A9-4960-8823-BD0CE347430F}" name="AGO-% AVG3" dataDxfId="15"/>
    <tableColumn id="6" xr3:uid="{E93A0B3F-2F0B-446E-B350-5EC1341B65A9}" name="AGO-Max CPU4" dataDxfId="14"/>
    <tableColumn id="7" xr3:uid="{A035C2AF-EB30-40E0-B5D1-2F58BF4A5C74}" name="RAM" dataDxfId="13"/>
    <tableColumn id="16" xr3:uid="{A13187D3-A82F-446C-9F31-7C1E5D4F2BBC}" name="JUL-% AVG2" dataDxfId="12"/>
    <tableColumn id="15" xr3:uid="{7761762A-D691-424D-9B7E-BF2FD4317A1F}" name="JUL-Max RAM" dataDxfId="11"/>
    <tableColumn id="8" xr3:uid="{4C41B199-A37F-477E-B5E6-64F80B28C007}" name="AGO-% AVG22" dataDxfId="10"/>
    <tableColumn id="9" xr3:uid="{B99D81B5-2657-4967-A4A9-FF18667007B5}" name="AGO-Max RAM2" dataDxfId="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454956A-8B1B-4ED3-9149-0F9A6710B32E}" name="Tabla11" displayName="Tabla11" ref="B9:E13" totalsRowShown="0" headerRowDxfId="8" dataDxfId="6" headerRowBorderDxfId="7" tableBorderDxfId="5" totalsRowBorderDxfId="4">
  <autoFilter ref="B9:E13" xr:uid="{5454956A-8B1B-4ED3-9149-0F9A6710B32E}"/>
  <tableColumns count="4">
    <tableColumn id="1" xr3:uid="{4C082053-2624-4574-BFC9-776C83668C84}" name="NOMBRE VM" dataDxfId="3"/>
    <tableColumn id="2" xr3:uid="{88C05ED1-CA7D-4DF6-80F3-7C94E798F9BE}" name="NOMBRE BACKUP" dataDxfId="2"/>
    <tableColumn id="3" xr3:uid="{83C17774-4CB5-4CBE-8737-664F165E5F9C}" name="STATUS" dataDxfId="1"/>
    <tableColumn id="4" xr3:uid="{65D43B08-B4A0-48EB-88FF-D5FE6DA5D0D1}" name="OBSERVACIÓ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BA8C-7EC6-4E20-BD98-6362B3077F7F}">
  <dimension ref="B11:M17"/>
  <sheetViews>
    <sheetView showGridLines="0" zoomScaleNormal="100" workbookViewId="0">
      <selection activeCell="K28" sqref="K27:K28"/>
    </sheetView>
  </sheetViews>
  <sheetFormatPr baseColWidth="10" defaultRowHeight="15" x14ac:dyDescent="0.25"/>
  <cols>
    <col min="1" max="1" width="4.85546875" customWidth="1"/>
    <col min="2" max="2" width="17.85546875" customWidth="1"/>
    <col min="3" max="3" width="17.28515625" customWidth="1"/>
    <col min="4" max="4" width="19.28515625" customWidth="1"/>
    <col min="10" max="10" width="16.140625" customWidth="1"/>
  </cols>
  <sheetData>
    <row r="11" spans="2:13" ht="15.75" thickBot="1" x14ac:dyDescent="0.3"/>
    <row r="12" spans="2:13" ht="15.75" thickBot="1" x14ac:dyDescent="0.3">
      <c r="B12" s="17" t="s">
        <v>8</v>
      </c>
      <c r="C12" s="18" t="s">
        <v>9</v>
      </c>
      <c r="D12" s="18" t="s">
        <v>10</v>
      </c>
      <c r="E12" s="18" t="s">
        <v>11</v>
      </c>
      <c r="F12" s="18"/>
      <c r="G12" s="18"/>
      <c r="H12" s="18"/>
    </row>
    <row r="13" spans="2:13" ht="21.75" thickBot="1" x14ac:dyDescent="0.3">
      <c r="B13" s="15" t="s">
        <v>19</v>
      </c>
      <c r="C13" s="13" t="s">
        <v>13</v>
      </c>
      <c r="D13" s="13" t="s">
        <v>21</v>
      </c>
      <c r="E13" s="13">
        <v>4</v>
      </c>
      <c r="F13" s="14"/>
      <c r="G13" s="14"/>
      <c r="H13" s="14"/>
    </row>
    <row r="14" spans="2:13" ht="15.75" thickBot="1" x14ac:dyDescent="0.3">
      <c r="B14" s="16" t="s">
        <v>20</v>
      </c>
      <c r="C14" s="13" t="s">
        <v>13</v>
      </c>
      <c r="D14" s="13" t="s">
        <v>22</v>
      </c>
      <c r="E14" s="13">
        <v>4</v>
      </c>
      <c r="F14" s="14"/>
      <c r="G14" s="14"/>
      <c r="H14" s="14"/>
    </row>
    <row r="15" spans="2:13" ht="15.75" thickBot="1" x14ac:dyDescent="0.3">
      <c r="J15" s="19" t="s">
        <v>8</v>
      </c>
      <c r="K15" s="18"/>
      <c r="L15" s="18"/>
      <c r="M15" s="18"/>
    </row>
    <row r="16" spans="2:13" ht="15.75" thickBot="1" x14ac:dyDescent="0.3">
      <c r="J16" s="15" t="s">
        <v>19</v>
      </c>
      <c r="K16" s="14"/>
      <c r="L16" s="14"/>
      <c r="M16" s="14"/>
    </row>
    <row r="17" spans="10:13" ht="15.75" thickBot="1" x14ac:dyDescent="0.3">
      <c r="J17" s="16" t="s">
        <v>20</v>
      </c>
      <c r="K17" s="14"/>
      <c r="L17" s="14"/>
      <c r="M17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1242-297E-4CF3-9FF9-D505040C9BC0}">
  <dimension ref="B11:H20"/>
  <sheetViews>
    <sheetView showGridLines="0" topLeftCell="A2" workbookViewId="0">
      <selection activeCell="F25" sqref="F25"/>
    </sheetView>
  </sheetViews>
  <sheetFormatPr baseColWidth="10" defaultRowHeight="15" x14ac:dyDescent="0.25"/>
  <cols>
    <col min="1" max="1" width="5.42578125" customWidth="1"/>
    <col min="2" max="2" width="16.140625" customWidth="1"/>
    <col min="3" max="3" width="14" customWidth="1"/>
    <col min="4" max="4" width="15.28515625" customWidth="1"/>
  </cols>
  <sheetData>
    <row r="11" spans="2:8" ht="15.75" thickBot="1" x14ac:dyDescent="0.3"/>
    <row r="12" spans="2:8" ht="15.75" thickBot="1" x14ac:dyDescent="0.3">
      <c r="B12" s="22" t="s">
        <v>8</v>
      </c>
      <c r="C12" s="23" t="s">
        <v>9</v>
      </c>
      <c r="D12" s="23" t="s">
        <v>10</v>
      </c>
      <c r="E12" s="23" t="s">
        <v>12</v>
      </c>
      <c r="F12" s="23"/>
      <c r="G12" s="23"/>
      <c r="H12" s="23"/>
    </row>
    <row r="13" spans="2:8" ht="21.75" thickBot="1" x14ac:dyDescent="0.3">
      <c r="B13" s="15" t="s">
        <v>19</v>
      </c>
      <c r="C13" s="13" t="s">
        <v>13</v>
      </c>
      <c r="D13" s="13" t="s">
        <v>21</v>
      </c>
      <c r="E13" s="21" t="s">
        <v>23</v>
      </c>
      <c r="F13" s="14"/>
      <c r="G13" s="14"/>
      <c r="H13" s="14"/>
    </row>
    <row r="14" spans="2:8" ht="21.75" thickBot="1" x14ac:dyDescent="0.3">
      <c r="B14" s="16" t="s">
        <v>20</v>
      </c>
      <c r="C14" s="13" t="s">
        <v>13</v>
      </c>
      <c r="D14" s="13" t="s">
        <v>22</v>
      </c>
      <c r="E14" s="21" t="s">
        <v>14</v>
      </c>
      <c r="F14" s="14"/>
      <c r="G14" s="14"/>
      <c r="H14" s="14"/>
    </row>
    <row r="17" spans="3:6" ht="15.75" thickBot="1" x14ac:dyDescent="0.3"/>
    <row r="18" spans="3:6" ht="15.75" thickBot="1" x14ac:dyDescent="0.3">
      <c r="C18" s="24" t="s">
        <v>8</v>
      </c>
      <c r="D18" s="23"/>
      <c r="E18" s="23"/>
      <c r="F18" s="23"/>
    </row>
    <row r="19" spans="3:6" ht="15.75" thickBot="1" x14ac:dyDescent="0.3">
      <c r="C19" s="15" t="s">
        <v>19</v>
      </c>
      <c r="D19" s="14"/>
      <c r="E19" s="14"/>
      <c r="F19" s="14"/>
    </row>
    <row r="20" spans="3:6" ht="15.75" thickBot="1" x14ac:dyDescent="0.3">
      <c r="C20" s="16" t="s">
        <v>20</v>
      </c>
      <c r="D20" s="14"/>
      <c r="E20" s="14"/>
      <c r="F2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68EB-5D69-4B44-9128-B1CC75C913AE}">
  <dimension ref="B6:J17"/>
  <sheetViews>
    <sheetView showGridLines="0" tabSelected="1" workbookViewId="0">
      <selection activeCell="C10" sqref="C10"/>
    </sheetView>
  </sheetViews>
  <sheetFormatPr baseColWidth="10" defaultRowHeight="15" x14ac:dyDescent="0.25"/>
  <cols>
    <col min="1" max="1" width="4.28515625" customWidth="1"/>
    <col min="2" max="2" width="19.85546875" customWidth="1"/>
    <col min="3" max="3" width="28" bestFit="1" customWidth="1"/>
    <col min="4" max="4" width="26.42578125" bestFit="1" customWidth="1"/>
    <col min="5" max="5" width="9.42578125" customWidth="1"/>
    <col min="6" max="7" width="17.140625" customWidth="1"/>
    <col min="8" max="8" width="16.42578125" customWidth="1"/>
    <col min="9" max="9" width="17.140625" customWidth="1"/>
    <col min="10" max="10" width="11.42578125" style="20"/>
  </cols>
  <sheetData>
    <row r="6" spans="2:4" ht="21" x14ac:dyDescent="0.35">
      <c r="B6" s="41"/>
    </row>
    <row r="7" spans="2:4" ht="21" x14ac:dyDescent="0.35">
      <c r="C7" s="41" t="s">
        <v>123</v>
      </c>
    </row>
    <row r="8" spans="2:4" ht="21" x14ac:dyDescent="0.35">
      <c r="B8" s="41"/>
    </row>
    <row r="9" spans="2:4" ht="23.25" x14ac:dyDescent="0.35">
      <c r="C9" s="48" t="s">
        <v>72</v>
      </c>
    </row>
    <row r="10" spans="2:4" ht="23.25" x14ac:dyDescent="0.35">
      <c r="C10" s="42" t="s">
        <v>69</v>
      </c>
      <c r="D10" s="41"/>
    </row>
    <row r="11" spans="2:4" ht="23.25" x14ac:dyDescent="0.35">
      <c r="C11" s="42" t="s">
        <v>77</v>
      </c>
      <c r="D11" s="41"/>
    </row>
    <row r="12" spans="2:4" ht="23.25" x14ac:dyDescent="0.35">
      <c r="C12" s="42" t="s">
        <v>70</v>
      </c>
    </row>
    <row r="13" spans="2:4" ht="23.25" x14ac:dyDescent="0.35">
      <c r="C13" s="42" t="s">
        <v>71</v>
      </c>
    </row>
    <row r="14" spans="2:4" ht="23.25" x14ac:dyDescent="0.35">
      <c r="C14" s="42" t="s">
        <v>59</v>
      </c>
    </row>
    <row r="15" spans="2:4" ht="23.25" x14ac:dyDescent="0.35">
      <c r="C15" s="42" t="s">
        <v>63</v>
      </c>
    </row>
    <row r="16" spans="2:4" ht="23.25" x14ac:dyDescent="0.35">
      <c r="C16" s="42" t="s">
        <v>64</v>
      </c>
    </row>
    <row r="17" spans="3:3" ht="23.25" x14ac:dyDescent="0.35">
      <c r="C17" s="42" t="s">
        <v>65</v>
      </c>
    </row>
  </sheetData>
  <hyperlinks>
    <hyperlink ref="C10" location="Inventario!A1" display="Inventario" xr:uid="{2F41B208-40A0-4953-909A-9B28D40AE5C8}"/>
    <hyperlink ref="C12" location="'Backup VMs'!A1" display="BackupVMs" xr:uid="{BA88933D-B2C2-470D-A73D-1FA0C2FF01BE}"/>
    <hyperlink ref="C13:C17" location="'Backup VMs'!A1" display="BackupVMs" xr:uid="{792ABE3E-027A-4B1B-B5D8-6A1581B126DE}"/>
    <hyperlink ref="C13" location="'Backup general '!A1" display="Backup General" xr:uid="{6E9A540D-FD38-4266-8580-E1D17AA2ED8C}"/>
    <hyperlink ref="C14" location="'BKP-AVADAZ01'!A1" display="BKP-AVADAZ01" xr:uid="{C35950F3-78CC-4FD1-B3BC-67255D78CD66}"/>
    <hyperlink ref="C15" location="'BKP-AVADFSAZ01'!A1" display="BKP-AVADFSAZ01" xr:uid="{DB93EC3A-0720-4E78-9815-232B4EE1244B}"/>
    <hyperlink ref="C16" location="'BKP-AVADFSPAZ01'!A1" display="BKP-AVADFSPAZ01" xr:uid="{7B6DE907-F62E-47AA-99D6-366E0487945B}"/>
    <hyperlink ref="C17" location="'BKP-AVRPA01'!A1" display="BKP-AVRPA01" xr:uid="{FA79756D-A498-4131-ACF8-2E8B9203323F}"/>
    <hyperlink ref="C11" location="Metricas!A1" display="Inventario" xr:uid="{B81C0F00-F777-4CCF-B69E-145B12237AD5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1F0A-8867-45A6-BACC-5C70DDFC4645}">
  <dimension ref="B6:J26"/>
  <sheetViews>
    <sheetView showGridLines="0" workbookViewId="0"/>
  </sheetViews>
  <sheetFormatPr baseColWidth="10" defaultRowHeight="15" x14ac:dyDescent="0.25"/>
  <cols>
    <col min="1" max="1" width="4.28515625" customWidth="1"/>
    <col min="2" max="2" width="19.85546875" customWidth="1"/>
    <col min="3" max="3" width="16.5703125" customWidth="1"/>
    <col min="4" max="4" width="22.28515625" customWidth="1"/>
    <col min="5" max="5" width="9.85546875" customWidth="1"/>
    <col min="6" max="7" width="17.140625" customWidth="1"/>
    <col min="8" max="8" width="16.42578125" customWidth="1"/>
    <col min="9" max="9" width="17.140625" customWidth="1"/>
    <col min="10" max="10" width="11.42578125" style="20"/>
  </cols>
  <sheetData>
    <row r="6" spans="2:10" x14ac:dyDescent="0.25">
      <c r="B6" t="s">
        <v>67</v>
      </c>
    </row>
    <row r="8" spans="2:10" x14ac:dyDescent="0.25">
      <c r="B8" s="37" t="s">
        <v>25</v>
      </c>
      <c r="C8" s="37" t="s">
        <v>26</v>
      </c>
      <c r="D8" s="37" t="s">
        <v>27</v>
      </c>
      <c r="E8" s="37" t="s">
        <v>28</v>
      </c>
      <c r="F8" s="37" t="s">
        <v>29</v>
      </c>
      <c r="G8" s="37" t="s">
        <v>30</v>
      </c>
      <c r="H8" s="37" t="s">
        <v>31</v>
      </c>
      <c r="I8" s="37" t="s">
        <v>32</v>
      </c>
      <c r="J8" s="37" t="s">
        <v>33</v>
      </c>
    </row>
    <row r="9" spans="2:10" x14ac:dyDescent="0.25">
      <c r="B9" s="25" t="s">
        <v>41</v>
      </c>
      <c r="C9" s="25" t="s">
        <v>15</v>
      </c>
      <c r="D9" s="25" t="s">
        <v>44</v>
      </c>
      <c r="E9" s="25" t="s">
        <v>56</v>
      </c>
      <c r="F9" s="25" t="s">
        <v>35</v>
      </c>
      <c r="G9" s="25" t="s">
        <v>36</v>
      </c>
      <c r="H9" s="25" t="s">
        <v>49</v>
      </c>
      <c r="I9" s="25" t="s">
        <v>48</v>
      </c>
      <c r="J9" s="25">
        <v>1</v>
      </c>
    </row>
    <row r="10" spans="2:10" x14ac:dyDescent="0.25">
      <c r="B10" s="25" t="s">
        <v>42</v>
      </c>
      <c r="C10" s="25" t="s">
        <v>15</v>
      </c>
      <c r="D10" s="25" t="s">
        <v>44</v>
      </c>
      <c r="E10" s="25" t="s">
        <v>56</v>
      </c>
      <c r="F10" s="25" t="s">
        <v>35</v>
      </c>
      <c r="G10" s="25" t="s">
        <v>34</v>
      </c>
      <c r="H10" s="25" t="s">
        <v>50</v>
      </c>
      <c r="I10" s="25" t="s">
        <v>47</v>
      </c>
      <c r="J10" s="25">
        <v>1</v>
      </c>
    </row>
    <row r="11" spans="2:10" x14ac:dyDescent="0.25">
      <c r="B11" s="25" t="s">
        <v>43</v>
      </c>
      <c r="C11" s="25" t="s">
        <v>15</v>
      </c>
      <c r="D11" s="25" t="s">
        <v>44</v>
      </c>
      <c r="E11" s="25" t="s">
        <v>56</v>
      </c>
      <c r="F11" s="25" t="s">
        <v>35</v>
      </c>
      <c r="G11" s="25" t="s">
        <v>34</v>
      </c>
      <c r="H11" s="25" t="s">
        <v>51</v>
      </c>
      <c r="I11" s="25" t="s">
        <v>46</v>
      </c>
      <c r="J11" s="25">
        <v>1</v>
      </c>
    </row>
    <row r="12" spans="2:10" x14ac:dyDescent="0.25">
      <c r="B12" s="25" t="s">
        <v>54</v>
      </c>
      <c r="C12" s="25" t="s">
        <v>15</v>
      </c>
      <c r="D12" s="25" t="s">
        <v>44</v>
      </c>
      <c r="E12" s="25" t="s">
        <v>56</v>
      </c>
      <c r="F12" s="25" t="s">
        <v>35</v>
      </c>
      <c r="G12" s="25" t="s">
        <v>96</v>
      </c>
      <c r="H12" s="25" t="s">
        <v>52</v>
      </c>
      <c r="I12" s="25" t="s">
        <v>45</v>
      </c>
      <c r="J12" s="25">
        <v>1</v>
      </c>
    </row>
    <row r="14" spans="2:10" x14ac:dyDescent="0.25">
      <c r="B14" t="s">
        <v>66</v>
      </c>
    </row>
    <row r="16" spans="2:10" x14ac:dyDescent="0.25">
      <c r="B16" t="s">
        <v>25</v>
      </c>
      <c r="C16" t="s">
        <v>57</v>
      </c>
      <c r="D16" t="s">
        <v>27</v>
      </c>
      <c r="E16" t="s">
        <v>28</v>
      </c>
      <c r="F16" t="s">
        <v>58</v>
      </c>
    </row>
    <row r="17" spans="2:10" x14ac:dyDescent="0.25">
      <c r="B17" t="s">
        <v>59</v>
      </c>
      <c r="C17" t="s">
        <v>60</v>
      </c>
      <c r="D17" t="s">
        <v>61</v>
      </c>
      <c r="E17" t="s">
        <v>56</v>
      </c>
      <c r="F17" t="s">
        <v>62</v>
      </c>
    </row>
    <row r="18" spans="2:10" x14ac:dyDescent="0.25">
      <c r="B18" t="s">
        <v>63</v>
      </c>
      <c r="C18" t="s">
        <v>60</v>
      </c>
      <c r="D18" t="s">
        <v>61</v>
      </c>
      <c r="E18" t="s">
        <v>56</v>
      </c>
      <c r="F18" t="s">
        <v>62</v>
      </c>
    </row>
    <row r="19" spans="2:10" x14ac:dyDescent="0.25">
      <c r="B19" t="s">
        <v>64</v>
      </c>
      <c r="C19" t="s">
        <v>60</v>
      </c>
      <c r="D19" t="s">
        <v>61</v>
      </c>
      <c r="E19" t="s">
        <v>56</v>
      </c>
      <c r="F19" t="s">
        <v>62</v>
      </c>
    </row>
    <row r="20" spans="2:10" x14ac:dyDescent="0.25">
      <c r="B20" t="s">
        <v>65</v>
      </c>
      <c r="C20" t="s">
        <v>60</v>
      </c>
      <c r="D20" t="s">
        <v>61</v>
      </c>
      <c r="E20" t="s">
        <v>56</v>
      </c>
      <c r="F20" t="s">
        <v>62</v>
      </c>
    </row>
    <row r="22" spans="2:10" x14ac:dyDescent="0.25">
      <c r="B22" t="s">
        <v>38</v>
      </c>
      <c r="C22" t="s">
        <v>126</v>
      </c>
      <c r="D22" t="s">
        <v>125</v>
      </c>
      <c r="E22" t="s">
        <v>124</v>
      </c>
      <c r="I22" s="20"/>
      <c r="J22"/>
    </row>
    <row r="23" spans="2:10" x14ac:dyDescent="0.25">
      <c r="B23" t="s">
        <v>41</v>
      </c>
      <c r="C23" t="s">
        <v>61</v>
      </c>
      <c r="D23" t="s">
        <v>3</v>
      </c>
      <c r="E23" t="s">
        <v>127</v>
      </c>
      <c r="I23" s="20"/>
      <c r="J23"/>
    </row>
    <row r="24" spans="2:10" x14ac:dyDescent="0.25">
      <c r="B24" t="s">
        <v>42</v>
      </c>
      <c r="C24" t="s">
        <v>61</v>
      </c>
      <c r="D24" t="s">
        <v>3</v>
      </c>
      <c r="E24" t="s">
        <v>127</v>
      </c>
      <c r="I24" s="20"/>
      <c r="J24"/>
    </row>
    <row r="25" spans="2:10" x14ac:dyDescent="0.25">
      <c r="B25" t="s">
        <v>43</v>
      </c>
      <c r="C25" t="s">
        <v>61</v>
      </c>
      <c r="D25" t="s">
        <v>3</v>
      </c>
      <c r="E25" t="s">
        <v>127</v>
      </c>
      <c r="I25" s="20"/>
      <c r="J25"/>
    </row>
    <row r="26" spans="2:10" x14ac:dyDescent="0.25">
      <c r="B26" t="s">
        <v>54</v>
      </c>
      <c r="C26" t="s">
        <v>61</v>
      </c>
      <c r="D26" t="s">
        <v>3</v>
      </c>
      <c r="E26" t="s">
        <v>127</v>
      </c>
      <c r="I26" s="20"/>
      <c r="J26"/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1B7C-866F-4CDB-B76E-AA603A4787FC}">
  <dimension ref="B6:L108"/>
  <sheetViews>
    <sheetView showGridLines="0" topLeftCell="A112" zoomScaleNormal="100" workbookViewId="0">
      <selection activeCell="J14" sqref="J14"/>
    </sheetView>
  </sheetViews>
  <sheetFormatPr baseColWidth="10" defaultRowHeight="15" x14ac:dyDescent="0.25"/>
  <cols>
    <col min="1" max="1" width="4.28515625" customWidth="1"/>
    <col min="2" max="2" width="19.85546875" customWidth="1"/>
    <col min="3" max="3" width="16.5703125" customWidth="1"/>
    <col min="4" max="4" width="22.28515625" customWidth="1"/>
    <col min="5" max="5" width="14.5703125" customWidth="1"/>
    <col min="6" max="7" width="17.140625" customWidth="1"/>
    <col min="8" max="8" width="16.42578125" customWidth="1"/>
    <col min="9" max="9" width="17.140625" customWidth="1"/>
    <col min="10" max="10" width="11.42578125" style="20"/>
    <col min="12" max="12" width="15.42578125" customWidth="1"/>
  </cols>
  <sheetData>
    <row r="6" spans="2:12" x14ac:dyDescent="0.25">
      <c r="B6" t="s">
        <v>67</v>
      </c>
    </row>
    <row r="7" spans="2:12" x14ac:dyDescent="0.25">
      <c r="B7" s="62" t="s">
        <v>97</v>
      </c>
      <c r="C7" s="62"/>
      <c r="D7" s="62"/>
      <c r="E7" s="62"/>
      <c r="F7" s="62"/>
      <c r="H7" s="62" t="s">
        <v>98</v>
      </c>
      <c r="I7" s="62"/>
      <c r="J7" s="62"/>
      <c r="K7" s="62"/>
      <c r="L7" s="62"/>
    </row>
    <row r="8" spans="2:12" x14ac:dyDescent="0.25">
      <c r="B8" s="37" t="s">
        <v>25</v>
      </c>
      <c r="C8" s="37" t="s">
        <v>73</v>
      </c>
      <c r="D8" s="37" t="s">
        <v>74</v>
      </c>
      <c r="E8" s="37" t="s">
        <v>75</v>
      </c>
      <c r="F8" s="37" t="s">
        <v>76</v>
      </c>
      <c r="G8" s="46"/>
      <c r="H8" s="37" t="s">
        <v>25</v>
      </c>
      <c r="I8" s="37" t="s">
        <v>73</v>
      </c>
      <c r="J8" s="37" t="s">
        <v>74</v>
      </c>
      <c r="K8" s="37" t="s">
        <v>75</v>
      </c>
      <c r="L8" s="37" t="s">
        <v>76</v>
      </c>
    </row>
    <row r="9" spans="2:12" x14ac:dyDescent="0.25">
      <c r="B9" s="25" t="s">
        <v>41</v>
      </c>
      <c r="C9" s="25" t="s">
        <v>81</v>
      </c>
      <c r="D9" s="25" t="s">
        <v>82</v>
      </c>
      <c r="E9" s="25" t="s">
        <v>88</v>
      </c>
      <c r="F9" s="25" t="s">
        <v>89</v>
      </c>
      <c r="G9" s="25"/>
      <c r="H9" s="25" t="s">
        <v>41</v>
      </c>
      <c r="I9" s="25" t="s">
        <v>100</v>
      </c>
      <c r="J9" s="25" t="s">
        <v>99</v>
      </c>
      <c r="K9" s="60" t="s">
        <v>101</v>
      </c>
      <c r="L9" s="25" t="s">
        <v>113</v>
      </c>
    </row>
    <row r="10" spans="2:12" x14ac:dyDescent="0.25">
      <c r="B10" s="25" t="s">
        <v>42</v>
      </c>
      <c r="C10" s="25" t="s">
        <v>78</v>
      </c>
      <c r="D10" s="25" t="s">
        <v>83</v>
      </c>
      <c r="E10" s="25" t="s">
        <v>90</v>
      </c>
      <c r="F10" s="25" t="s">
        <v>91</v>
      </c>
      <c r="G10" s="25"/>
      <c r="H10" s="25" t="s">
        <v>42</v>
      </c>
      <c r="I10" s="25" t="s">
        <v>102</v>
      </c>
      <c r="J10" s="25" t="s">
        <v>103</v>
      </c>
      <c r="K10" s="60" t="s">
        <v>104</v>
      </c>
      <c r="L10" s="25" t="s">
        <v>114</v>
      </c>
    </row>
    <row r="11" spans="2:12" x14ac:dyDescent="0.25">
      <c r="B11" s="25" t="s">
        <v>43</v>
      </c>
      <c r="C11" s="25" t="s">
        <v>84</v>
      </c>
      <c r="D11" s="25" t="s">
        <v>87</v>
      </c>
      <c r="E11" s="25" t="s">
        <v>92</v>
      </c>
      <c r="F11" s="25" t="s">
        <v>93</v>
      </c>
      <c r="G11" s="25"/>
      <c r="H11" s="25" t="s">
        <v>43</v>
      </c>
      <c r="I11" s="25" t="s">
        <v>105</v>
      </c>
      <c r="J11" s="25" t="s">
        <v>106</v>
      </c>
      <c r="K11" s="25" t="s">
        <v>107</v>
      </c>
      <c r="L11" s="25" t="s">
        <v>108</v>
      </c>
    </row>
    <row r="12" spans="2:12" x14ac:dyDescent="0.25">
      <c r="B12" s="25" t="s">
        <v>54</v>
      </c>
      <c r="C12" s="25" t="s">
        <v>85</v>
      </c>
      <c r="D12" s="25" t="s">
        <v>86</v>
      </c>
      <c r="E12" s="25" t="s">
        <v>94</v>
      </c>
      <c r="F12" s="25" t="s">
        <v>95</v>
      </c>
      <c r="G12" s="25"/>
      <c r="H12" s="25" t="s">
        <v>54</v>
      </c>
      <c r="I12" s="25" t="s">
        <v>109</v>
      </c>
      <c r="J12" s="25" t="s">
        <v>110</v>
      </c>
      <c r="K12" s="25" t="s">
        <v>111</v>
      </c>
      <c r="L12" s="25" t="s">
        <v>112</v>
      </c>
    </row>
    <row r="14" spans="2:12" x14ac:dyDescent="0.25">
      <c r="C14" s="43" t="s">
        <v>41</v>
      </c>
      <c r="D14" s="44" t="s">
        <v>73</v>
      </c>
      <c r="H14" s="44" t="s">
        <v>74</v>
      </c>
    </row>
    <row r="26" spans="3:8" x14ac:dyDescent="0.25">
      <c r="C26" s="45" t="s">
        <v>42</v>
      </c>
      <c r="D26" s="44" t="s">
        <v>73</v>
      </c>
      <c r="H26" s="44" t="s">
        <v>74</v>
      </c>
    </row>
    <row r="39" spans="3:8" x14ac:dyDescent="0.25">
      <c r="C39" s="43" t="s">
        <v>43</v>
      </c>
      <c r="D39" s="44" t="s">
        <v>73</v>
      </c>
      <c r="H39" s="44" t="s">
        <v>74</v>
      </c>
    </row>
    <row r="52" spans="3:8" x14ac:dyDescent="0.25">
      <c r="C52" s="45" t="s">
        <v>54</v>
      </c>
      <c r="D52" s="44" t="s">
        <v>73</v>
      </c>
      <c r="H52" s="44" t="s">
        <v>74</v>
      </c>
    </row>
    <row r="66" spans="3:8" ht="16.5" x14ac:dyDescent="0.25">
      <c r="E66" s="61" t="s">
        <v>12</v>
      </c>
      <c r="F66" s="61"/>
      <c r="G66" s="61"/>
    </row>
    <row r="69" spans="3:8" x14ac:dyDescent="0.25">
      <c r="C69" s="43" t="s">
        <v>41</v>
      </c>
      <c r="D69" s="44" t="s">
        <v>75</v>
      </c>
      <c r="H69" s="47" t="s">
        <v>76</v>
      </c>
    </row>
    <row r="81" spans="3:8" x14ac:dyDescent="0.25">
      <c r="C81" s="45" t="s">
        <v>42</v>
      </c>
      <c r="D81" s="44" t="s">
        <v>75</v>
      </c>
      <c r="H81" s="47" t="s">
        <v>76</v>
      </c>
    </row>
    <row r="94" spans="3:8" x14ac:dyDescent="0.25">
      <c r="C94" s="43" t="s">
        <v>43</v>
      </c>
      <c r="D94" s="44" t="s">
        <v>75</v>
      </c>
      <c r="H94" s="47" t="s">
        <v>76</v>
      </c>
    </row>
    <row r="108" spans="3:8" x14ac:dyDescent="0.25">
      <c r="C108" s="45" t="s">
        <v>54</v>
      </c>
      <c r="D108" s="44" t="s">
        <v>75</v>
      </c>
      <c r="H108" s="47" t="s">
        <v>76</v>
      </c>
    </row>
  </sheetData>
  <mergeCells count="3">
    <mergeCell ref="E66:G66"/>
    <mergeCell ref="B7:F7"/>
    <mergeCell ref="H7:L7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B0C5-F70D-44DC-92B3-8E03AB88024F}">
  <dimension ref="B9:N30"/>
  <sheetViews>
    <sheetView showGridLines="0" zoomScale="90" zoomScaleNormal="90" workbookViewId="0">
      <selection activeCell="A9" sqref="A9"/>
    </sheetView>
  </sheetViews>
  <sheetFormatPr baseColWidth="10" defaultRowHeight="15" x14ac:dyDescent="0.25"/>
  <cols>
    <col min="1" max="1" width="3.7109375" customWidth="1"/>
    <col min="2" max="2" width="20.42578125" customWidth="1"/>
    <col min="3" max="3" width="19.140625" customWidth="1"/>
    <col min="4" max="4" width="22.140625" customWidth="1"/>
    <col min="5" max="7" width="11.5703125" customWidth="1"/>
    <col min="14" max="14" width="15.140625" customWidth="1"/>
  </cols>
  <sheetData>
    <row r="9" spans="2:14" ht="21" x14ac:dyDescent="0.25">
      <c r="B9" s="49" t="s">
        <v>8</v>
      </c>
      <c r="C9" s="50" t="s">
        <v>9</v>
      </c>
      <c r="D9" s="50" t="s">
        <v>10</v>
      </c>
      <c r="E9" s="50" t="s">
        <v>11</v>
      </c>
      <c r="F9" s="51" t="s">
        <v>117</v>
      </c>
      <c r="G9" s="51" t="s">
        <v>118</v>
      </c>
      <c r="H9" s="51" t="s">
        <v>115</v>
      </c>
      <c r="I9" s="51" t="s">
        <v>116</v>
      </c>
      <c r="J9" s="51" t="s">
        <v>12</v>
      </c>
      <c r="K9" s="51" t="s">
        <v>119</v>
      </c>
      <c r="L9" s="52" t="s">
        <v>122</v>
      </c>
      <c r="M9" s="51" t="s">
        <v>120</v>
      </c>
      <c r="N9" s="52" t="s">
        <v>121</v>
      </c>
    </row>
    <row r="10" spans="2:14" x14ac:dyDescent="0.25">
      <c r="B10" s="53" t="str">
        <f>[1]Inventario!B9</f>
        <v>AVADAZ01</v>
      </c>
      <c r="C10" s="54" t="str">
        <f>[1]Inventario!F9</f>
        <v>Windows</v>
      </c>
      <c r="D10" s="54" t="str">
        <f>Inventario!G9</f>
        <v>Standard_B2ms</v>
      </c>
      <c r="E10" s="55">
        <v>2</v>
      </c>
      <c r="F10" s="56">
        <v>3.8199999999999998E-2</v>
      </c>
      <c r="G10" s="56">
        <v>0.86650000000000005</v>
      </c>
      <c r="H10" s="56">
        <v>3.6600000000000001E-2</v>
      </c>
      <c r="I10" s="56">
        <v>0.78769999999999996</v>
      </c>
      <c r="J10" s="55" t="s">
        <v>79</v>
      </c>
      <c r="K10" s="56">
        <v>0.61650000000000005</v>
      </c>
      <c r="L10" s="56">
        <v>0.90759999999999996</v>
      </c>
      <c r="M10" s="56">
        <v>0.51690000000000003</v>
      </c>
      <c r="N10" s="57">
        <v>0.60680000000000001</v>
      </c>
    </row>
    <row r="11" spans="2:14" x14ac:dyDescent="0.25">
      <c r="B11" s="53" t="str">
        <f>[1]Inventario!B10</f>
        <v>AVADFSAZ01</v>
      </c>
      <c r="C11" s="54" t="str">
        <f>[1]Inventario!F10</f>
        <v>Windows</v>
      </c>
      <c r="D11" s="54" t="str">
        <f>Inventario!G10</f>
        <v>Standard_B2s</v>
      </c>
      <c r="E11" s="55">
        <v>2</v>
      </c>
      <c r="F11" s="56">
        <v>3.39E-2</v>
      </c>
      <c r="G11" s="56">
        <v>0.8629</v>
      </c>
      <c r="H11" s="56">
        <v>2.98E-2</v>
      </c>
      <c r="I11" s="56">
        <v>0.72460000000000002</v>
      </c>
      <c r="J11" s="55" t="s">
        <v>80</v>
      </c>
      <c r="K11" s="56">
        <v>0.67049999999999998</v>
      </c>
      <c r="L11" s="56">
        <v>0.94869999999999999</v>
      </c>
      <c r="M11" s="56">
        <v>0.67949999999999999</v>
      </c>
      <c r="N11" s="57">
        <v>0.78490000000000004</v>
      </c>
    </row>
    <row r="12" spans="2:14" x14ac:dyDescent="0.25">
      <c r="B12" s="53" t="str">
        <f>[1]Inventario!B11</f>
        <v>AVADFSPAZ01</v>
      </c>
      <c r="C12" s="54" t="str">
        <f>[1]Inventario!F11</f>
        <v>Windows</v>
      </c>
      <c r="D12" s="54" t="str">
        <f>Inventario!G11</f>
        <v>Standard_B2s</v>
      </c>
      <c r="E12" s="55">
        <v>2</v>
      </c>
      <c r="F12" s="56">
        <v>2.1899999999999999E-2</v>
      </c>
      <c r="G12" s="56">
        <v>0.89570000000000005</v>
      </c>
      <c r="H12" s="56">
        <v>0.13450000000000001</v>
      </c>
      <c r="I12" s="56">
        <v>0.99970000000000003</v>
      </c>
      <c r="J12" s="55" t="s">
        <v>80</v>
      </c>
      <c r="K12" s="56">
        <v>0.49909999999999999</v>
      </c>
      <c r="L12" s="56">
        <v>0.76670000000000005</v>
      </c>
      <c r="M12" s="56">
        <v>0.35339999999999999</v>
      </c>
      <c r="N12" s="57">
        <v>0.65059999999999996</v>
      </c>
    </row>
    <row r="13" spans="2:14" x14ac:dyDescent="0.25">
      <c r="B13" s="53" t="str">
        <f>[1]Inventario!B12</f>
        <v>AVRPA01</v>
      </c>
      <c r="C13" s="54" t="str">
        <f>[1]Inventario!F12</f>
        <v>Windows</v>
      </c>
      <c r="D13" s="54" t="str">
        <f>Inventario!G12</f>
        <v>Standard_D2ads_v5</v>
      </c>
      <c r="E13" s="55">
        <v>2</v>
      </c>
      <c r="F13" s="56">
        <v>0.20069999999999999</v>
      </c>
      <c r="G13" s="56">
        <v>0.92769999999999997</v>
      </c>
      <c r="H13" s="56">
        <v>0.28489999999999999</v>
      </c>
      <c r="I13" s="56">
        <v>0.94079999999999997</v>
      </c>
      <c r="J13" s="55" t="s">
        <v>79</v>
      </c>
      <c r="K13" s="56">
        <v>0.39960000000000001</v>
      </c>
      <c r="L13" s="56">
        <v>0.64419999999999999</v>
      </c>
      <c r="M13" s="56">
        <v>0.43330000000000002</v>
      </c>
      <c r="N13" s="56">
        <v>0.76219999999999999</v>
      </c>
    </row>
    <row r="26" spans="2:14" x14ac:dyDescent="0.25">
      <c r="B26" s="59"/>
      <c r="C26" s="59"/>
      <c r="D26" s="59"/>
      <c r="E26" s="59"/>
      <c r="F26" s="59"/>
      <c r="G26" s="59"/>
      <c r="H26" s="58"/>
      <c r="I26" s="58"/>
      <c r="J26" s="59"/>
      <c r="K26" s="59"/>
      <c r="L26" s="59"/>
      <c r="M26" s="58"/>
      <c r="N26" s="58"/>
    </row>
    <row r="27" spans="2:14" x14ac:dyDescent="0.25">
      <c r="B27" s="59"/>
      <c r="C27" s="59"/>
      <c r="D27" s="59"/>
      <c r="E27" s="59"/>
      <c r="F27" s="59"/>
      <c r="G27" s="59"/>
      <c r="H27" s="58"/>
      <c r="I27" s="58"/>
      <c r="J27" s="59"/>
      <c r="K27" s="59"/>
      <c r="L27" s="59"/>
      <c r="M27" s="58"/>
      <c r="N27" s="58"/>
    </row>
    <row r="28" spans="2:14" x14ac:dyDescent="0.25">
      <c r="B28" s="59"/>
      <c r="C28" s="59"/>
      <c r="D28" s="59"/>
      <c r="E28" s="59"/>
      <c r="F28" s="59"/>
      <c r="G28" s="59"/>
      <c r="H28" s="58"/>
      <c r="I28" s="58"/>
      <c r="J28" s="59"/>
      <c r="K28" s="59"/>
      <c r="L28" s="59"/>
      <c r="M28" s="58"/>
      <c r="N28" s="58"/>
    </row>
    <row r="29" spans="2:14" x14ac:dyDescent="0.25">
      <c r="B29" s="59"/>
      <c r="C29" s="59"/>
      <c r="D29" s="59"/>
      <c r="E29" s="59"/>
      <c r="F29" s="59"/>
      <c r="G29" s="59"/>
      <c r="H29" s="58"/>
      <c r="I29" s="58"/>
      <c r="J29" s="59"/>
      <c r="K29" s="59"/>
      <c r="L29" s="59"/>
      <c r="M29" s="58"/>
      <c r="N29" s="58"/>
    </row>
    <row r="30" spans="2:14" x14ac:dyDescent="0.25">
      <c r="B30" s="59"/>
      <c r="C30" s="59"/>
      <c r="D30" s="59"/>
      <c r="E30" s="59"/>
      <c r="F30" s="59"/>
      <c r="G30" s="59"/>
      <c r="H30" s="58"/>
      <c r="I30" s="58"/>
      <c r="J30" s="59"/>
      <c r="K30" s="59"/>
      <c r="L30" s="59"/>
      <c r="M30" s="58"/>
      <c r="N30" s="58"/>
    </row>
  </sheetData>
  <phoneticPr fontId="13" type="noConversion"/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84BB-A00E-41D7-B385-8235D88F0BA7}">
  <dimension ref="B6:E13"/>
  <sheetViews>
    <sheetView showGridLines="0" topLeftCell="A7" workbookViewId="0">
      <selection activeCell="H25" sqref="H25"/>
    </sheetView>
  </sheetViews>
  <sheetFormatPr baseColWidth="10" defaultColWidth="11.42578125" defaultRowHeight="15" x14ac:dyDescent="0.25"/>
  <cols>
    <col min="1" max="1" width="0.7109375" customWidth="1"/>
    <col min="2" max="2" width="25.7109375" customWidth="1"/>
    <col min="3" max="3" width="30.28515625" bestFit="1" customWidth="1"/>
    <col min="4" max="4" width="14.5703125" customWidth="1"/>
    <col min="5" max="5" width="28.7109375" customWidth="1"/>
    <col min="8" max="8" width="14.5703125" bestFit="1" customWidth="1"/>
  </cols>
  <sheetData>
    <row r="6" spans="2:5" ht="15.75" thickBot="1" x14ac:dyDescent="0.3"/>
    <row r="7" spans="2:5" ht="21.75" thickBot="1" x14ac:dyDescent="0.4">
      <c r="B7" s="63" t="s">
        <v>37</v>
      </c>
      <c r="C7" s="64"/>
      <c r="D7" s="64"/>
      <c r="E7" s="65"/>
    </row>
    <row r="9" spans="2:5" ht="16.5" x14ac:dyDescent="0.25">
      <c r="B9" s="26" t="s">
        <v>38</v>
      </c>
      <c r="C9" s="27" t="s">
        <v>39</v>
      </c>
      <c r="D9" s="27" t="s">
        <v>26</v>
      </c>
      <c r="E9" s="28" t="s">
        <v>40</v>
      </c>
    </row>
    <row r="10" spans="2:5" ht="16.5" x14ac:dyDescent="0.25">
      <c r="B10" s="29" t="s">
        <v>41</v>
      </c>
      <c r="C10" s="30" t="s">
        <v>53</v>
      </c>
      <c r="D10" s="31" t="s">
        <v>3</v>
      </c>
      <c r="E10" s="32"/>
    </row>
    <row r="11" spans="2:5" ht="16.5" x14ac:dyDescent="0.25">
      <c r="B11" s="33" t="s">
        <v>42</v>
      </c>
      <c r="C11" s="34" t="s">
        <v>53</v>
      </c>
      <c r="D11" s="34" t="s">
        <v>3</v>
      </c>
      <c r="E11" s="35"/>
    </row>
    <row r="12" spans="2:5" ht="16.5" x14ac:dyDescent="0.25">
      <c r="B12" s="29" t="s">
        <v>43</v>
      </c>
      <c r="C12" s="30" t="s">
        <v>53</v>
      </c>
      <c r="D12" s="31" t="s">
        <v>3</v>
      </c>
      <c r="E12" s="36"/>
    </row>
    <row r="13" spans="2:5" ht="16.5" x14ac:dyDescent="0.25">
      <c r="B13" s="38" t="s">
        <v>54</v>
      </c>
      <c r="C13" s="30" t="s">
        <v>53</v>
      </c>
      <c r="D13" s="31" t="s">
        <v>3</v>
      </c>
      <c r="E13" s="39" t="s">
        <v>55</v>
      </c>
    </row>
  </sheetData>
  <mergeCells count="1">
    <mergeCell ref="B7:E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7709-034A-420B-A090-78A859E9D158}">
  <dimension ref="B7:G134"/>
  <sheetViews>
    <sheetView showGridLines="0" topLeftCell="A7" workbookViewId="0">
      <selection activeCell="B164" sqref="B164"/>
    </sheetView>
  </sheetViews>
  <sheetFormatPr baseColWidth="10" defaultRowHeight="15" x14ac:dyDescent="0.25"/>
  <cols>
    <col min="1" max="1" width="4" customWidth="1"/>
    <col min="2" max="2" width="22.28515625" customWidth="1"/>
    <col min="3" max="3" width="28.7109375" customWidth="1"/>
    <col min="4" max="4" width="14.140625" bestFit="1" customWidth="1"/>
    <col min="5" max="5" width="23.5703125" customWidth="1"/>
  </cols>
  <sheetData>
    <row r="7" spans="2:7" ht="21" x14ac:dyDescent="0.35">
      <c r="B7" s="66" t="s">
        <v>59</v>
      </c>
      <c r="C7" s="67"/>
      <c r="D7" s="67"/>
      <c r="E7" s="67"/>
      <c r="F7" s="67"/>
      <c r="G7" s="68"/>
    </row>
    <row r="50" spans="2:7" ht="21" x14ac:dyDescent="0.35">
      <c r="B50" s="66" t="s">
        <v>63</v>
      </c>
      <c r="C50" s="67"/>
      <c r="D50" s="67"/>
      <c r="E50" s="67"/>
      <c r="F50" s="67"/>
      <c r="G50" s="68"/>
    </row>
    <row r="92" spans="2:7" ht="21" x14ac:dyDescent="0.35">
      <c r="B92" s="66" t="s">
        <v>64</v>
      </c>
      <c r="C92" s="67"/>
      <c r="D92" s="67"/>
      <c r="E92" s="67"/>
      <c r="F92" s="67"/>
      <c r="G92" s="68"/>
    </row>
    <row r="134" spans="2:7" ht="21" x14ac:dyDescent="0.35">
      <c r="B134" s="66" t="s">
        <v>65</v>
      </c>
      <c r="C134" s="67"/>
      <c r="D134" s="67"/>
      <c r="E134" s="67"/>
      <c r="F134" s="67"/>
      <c r="G134" s="68"/>
    </row>
  </sheetData>
  <mergeCells count="4">
    <mergeCell ref="B134:G134"/>
    <mergeCell ref="B7:G7"/>
    <mergeCell ref="B50:G50"/>
    <mergeCell ref="B92:G92"/>
  </mergeCells>
  <phoneticPr fontId="1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3:L46"/>
  <sheetViews>
    <sheetView showGridLines="0" topLeftCell="B10" zoomScale="71" zoomScaleNormal="71" workbookViewId="0">
      <selection activeCell="J11" sqref="J11"/>
    </sheetView>
  </sheetViews>
  <sheetFormatPr baseColWidth="10" defaultColWidth="11.42578125" defaultRowHeight="15" x14ac:dyDescent="0.25"/>
  <cols>
    <col min="1" max="1" width="15.7109375" hidden="1" customWidth="1"/>
    <col min="2" max="2" width="4.140625" customWidth="1"/>
    <col min="3" max="3" width="19.85546875" style="1" customWidth="1"/>
    <col min="4" max="4" width="25.42578125" style="2" customWidth="1"/>
    <col min="5" max="5" width="5.85546875" customWidth="1"/>
    <col min="7" max="7" width="24.5703125" customWidth="1"/>
    <col min="8" max="8" width="35.140625" customWidth="1"/>
    <col min="11" max="11" width="24.5703125" customWidth="1"/>
    <col min="12" max="12" width="28.7109375" customWidth="1"/>
  </cols>
  <sheetData>
    <row r="13" spans="3:12" ht="15.75" customHeight="1" x14ac:dyDescent="0.25">
      <c r="C13" s="69" t="s">
        <v>5</v>
      </c>
      <c r="D13" s="69"/>
      <c r="G13" s="69" t="s">
        <v>6</v>
      </c>
      <c r="H13" s="69"/>
      <c r="K13" s="69" t="s">
        <v>7</v>
      </c>
      <c r="L13" s="69"/>
    </row>
    <row r="15" spans="3:12" x14ac:dyDescent="0.25">
      <c r="C15" s="11" t="s">
        <v>0</v>
      </c>
      <c r="D15" s="12" t="s">
        <v>1</v>
      </c>
      <c r="G15" s="11" t="s">
        <v>0</v>
      </c>
      <c r="H15" s="12" t="s">
        <v>1</v>
      </c>
      <c r="K15" s="11" t="s">
        <v>0</v>
      </c>
      <c r="L15" s="12" t="s">
        <v>1</v>
      </c>
    </row>
    <row r="16" spans="3:12" x14ac:dyDescent="0.25">
      <c r="C16" s="3">
        <v>43895</v>
      </c>
      <c r="D16" s="9" t="s">
        <v>2</v>
      </c>
      <c r="G16" s="3">
        <v>43895</v>
      </c>
      <c r="H16" s="9" t="s">
        <v>2</v>
      </c>
      <c r="K16" s="3">
        <v>43895</v>
      </c>
      <c r="L16" s="9" t="s">
        <v>2</v>
      </c>
    </row>
    <row r="17" spans="3:12" x14ac:dyDescent="0.25">
      <c r="C17" s="3">
        <v>43894</v>
      </c>
      <c r="D17" s="9" t="s">
        <v>2</v>
      </c>
      <c r="G17" s="3">
        <v>43894</v>
      </c>
      <c r="H17" s="9" t="s">
        <v>2</v>
      </c>
      <c r="K17" s="3">
        <v>43894</v>
      </c>
      <c r="L17" s="9" t="s">
        <v>2</v>
      </c>
    </row>
    <row r="18" spans="3:12" x14ac:dyDescent="0.25">
      <c r="C18" s="3">
        <v>43893</v>
      </c>
      <c r="D18" s="9" t="s">
        <v>2</v>
      </c>
      <c r="G18" s="3">
        <v>43893</v>
      </c>
      <c r="H18" s="9" t="s">
        <v>2</v>
      </c>
      <c r="K18" s="3">
        <v>43893</v>
      </c>
      <c r="L18" s="9" t="s">
        <v>2</v>
      </c>
    </row>
    <row r="19" spans="3:12" x14ac:dyDescent="0.25">
      <c r="C19" s="3">
        <v>43892</v>
      </c>
      <c r="D19" s="4" t="s">
        <v>4</v>
      </c>
      <c r="G19" s="3">
        <v>43892</v>
      </c>
      <c r="H19" s="9" t="s">
        <v>2</v>
      </c>
      <c r="K19" s="3">
        <v>43892</v>
      </c>
      <c r="L19" s="9" t="s">
        <v>2</v>
      </c>
    </row>
    <row r="20" spans="3:12" ht="21" customHeight="1" x14ac:dyDescent="0.25">
      <c r="C20" s="3">
        <v>43891</v>
      </c>
      <c r="D20" s="9" t="s">
        <v>2</v>
      </c>
      <c r="G20" s="3">
        <v>43891</v>
      </c>
      <c r="H20" s="4" t="s">
        <v>4</v>
      </c>
      <c r="K20" s="3">
        <v>43891</v>
      </c>
      <c r="L20" s="9" t="s">
        <v>2</v>
      </c>
    </row>
    <row r="21" spans="3:12" x14ac:dyDescent="0.25">
      <c r="C21" s="3">
        <v>43890</v>
      </c>
      <c r="D21" s="9" t="s">
        <v>2</v>
      </c>
      <c r="G21" s="3">
        <v>43890</v>
      </c>
      <c r="H21" s="9" t="s">
        <v>2</v>
      </c>
      <c r="K21" s="3">
        <v>43890</v>
      </c>
      <c r="L21" s="9" t="s">
        <v>2</v>
      </c>
    </row>
    <row r="22" spans="3:12" x14ac:dyDescent="0.25">
      <c r="C22" s="3">
        <v>43889</v>
      </c>
      <c r="D22" s="9" t="s">
        <v>2</v>
      </c>
      <c r="G22" s="3">
        <v>43889</v>
      </c>
      <c r="H22" s="7" t="s">
        <v>4</v>
      </c>
      <c r="K22" s="3">
        <v>43889</v>
      </c>
      <c r="L22" s="9" t="s">
        <v>2</v>
      </c>
    </row>
    <row r="23" spans="3:12" x14ac:dyDescent="0.25">
      <c r="C23" s="3">
        <v>43888</v>
      </c>
      <c r="D23" s="9" t="s">
        <v>2</v>
      </c>
      <c r="G23" s="3">
        <v>43888</v>
      </c>
      <c r="H23" s="9" t="s">
        <v>2</v>
      </c>
      <c r="K23" s="3">
        <v>43888</v>
      </c>
      <c r="L23" s="9" t="s">
        <v>2</v>
      </c>
    </row>
    <row r="24" spans="3:12" x14ac:dyDescent="0.25">
      <c r="C24" s="3">
        <v>43887</v>
      </c>
      <c r="D24" s="9" t="s">
        <v>2</v>
      </c>
      <c r="G24" s="3">
        <v>43887</v>
      </c>
      <c r="H24" s="9" t="s">
        <v>2</v>
      </c>
      <c r="K24" s="3">
        <v>43887</v>
      </c>
      <c r="L24" s="9" t="s">
        <v>2</v>
      </c>
    </row>
    <row r="25" spans="3:12" x14ac:dyDescent="0.25">
      <c r="C25" s="3">
        <v>43886</v>
      </c>
      <c r="D25" s="9" t="s">
        <v>2</v>
      </c>
      <c r="G25" s="3">
        <v>43886</v>
      </c>
      <c r="H25" s="9" t="s">
        <v>2</v>
      </c>
      <c r="K25" s="3">
        <v>43886</v>
      </c>
      <c r="L25" s="9" t="s">
        <v>2</v>
      </c>
    </row>
    <row r="26" spans="3:12" x14ac:dyDescent="0.25">
      <c r="C26" s="3">
        <v>43885</v>
      </c>
      <c r="D26" s="6" t="s">
        <v>4</v>
      </c>
      <c r="G26" s="3">
        <v>43885</v>
      </c>
      <c r="H26" s="9" t="s">
        <v>2</v>
      </c>
      <c r="K26" s="3">
        <v>43885</v>
      </c>
      <c r="L26" s="7" t="s">
        <v>4</v>
      </c>
    </row>
    <row r="27" spans="3:12" x14ac:dyDescent="0.25">
      <c r="C27" s="3">
        <v>43884</v>
      </c>
      <c r="D27" s="9" t="s">
        <v>2</v>
      </c>
      <c r="G27" s="3">
        <v>43884</v>
      </c>
      <c r="H27" s="9" t="s">
        <v>2</v>
      </c>
      <c r="K27" s="3">
        <v>43884</v>
      </c>
      <c r="L27" s="9" t="s">
        <v>2</v>
      </c>
    </row>
    <row r="28" spans="3:12" x14ac:dyDescent="0.25">
      <c r="C28" s="3">
        <v>43883</v>
      </c>
      <c r="D28" s="9" t="s">
        <v>2</v>
      </c>
      <c r="G28" s="3">
        <v>43883</v>
      </c>
      <c r="H28" s="9" t="s">
        <v>2</v>
      </c>
      <c r="K28" s="3">
        <v>43883</v>
      </c>
      <c r="L28" s="9" t="s">
        <v>2</v>
      </c>
    </row>
    <row r="29" spans="3:12" x14ac:dyDescent="0.25">
      <c r="C29" s="3">
        <v>43882</v>
      </c>
      <c r="D29" s="6" t="s">
        <v>4</v>
      </c>
      <c r="G29" s="3">
        <v>43882</v>
      </c>
      <c r="H29" s="9" t="s">
        <v>2</v>
      </c>
      <c r="K29" s="3">
        <v>43882</v>
      </c>
      <c r="L29" s="7" t="s">
        <v>4</v>
      </c>
    </row>
    <row r="30" spans="3:12" x14ac:dyDescent="0.25">
      <c r="C30" s="3">
        <v>43881</v>
      </c>
      <c r="D30" s="9" t="s">
        <v>2</v>
      </c>
      <c r="G30" s="3">
        <v>43881</v>
      </c>
      <c r="H30" s="8" t="s">
        <v>4</v>
      </c>
      <c r="K30" s="3">
        <v>43881</v>
      </c>
      <c r="L30" s="10" t="s">
        <v>2</v>
      </c>
    </row>
    <row r="31" spans="3:12" x14ac:dyDescent="0.25">
      <c r="C31" s="3">
        <v>43880</v>
      </c>
      <c r="D31" s="9" t="s">
        <v>2</v>
      </c>
      <c r="K31" s="3">
        <v>43880</v>
      </c>
      <c r="L31" s="9" t="s">
        <v>2</v>
      </c>
    </row>
    <row r="32" spans="3:12" x14ac:dyDescent="0.25">
      <c r="C32" s="3">
        <v>43879</v>
      </c>
      <c r="D32" s="9" t="s">
        <v>2</v>
      </c>
      <c r="K32" s="3">
        <v>43879</v>
      </c>
      <c r="L32" s="9" t="s">
        <v>2</v>
      </c>
    </row>
    <row r="33" spans="3:12" ht="15.75" customHeight="1" x14ac:dyDescent="0.25">
      <c r="C33" s="3">
        <v>43878</v>
      </c>
      <c r="D33" s="9" t="s">
        <v>2</v>
      </c>
      <c r="K33" s="3">
        <v>43878</v>
      </c>
      <c r="L33" s="9" t="s">
        <v>2</v>
      </c>
    </row>
    <row r="34" spans="3:12" x14ac:dyDescent="0.25">
      <c r="C34" s="3">
        <v>43877</v>
      </c>
      <c r="D34" s="9" t="s">
        <v>2</v>
      </c>
      <c r="K34" s="3">
        <v>43877</v>
      </c>
      <c r="L34" s="9" t="s">
        <v>2</v>
      </c>
    </row>
    <row r="35" spans="3:12" x14ac:dyDescent="0.25">
      <c r="C35" s="3">
        <v>43876</v>
      </c>
      <c r="D35" s="9" t="s">
        <v>2</v>
      </c>
      <c r="K35" s="3">
        <v>43876</v>
      </c>
      <c r="L35" s="9" t="s">
        <v>2</v>
      </c>
    </row>
    <row r="36" spans="3:12" x14ac:dyDescent="0.25">
      <c r="C36" s="3">
        <v>43875</v>
      </c>
      <c r="D36" s="4" t="s">
        <v>4</v>
      </c>
      <c r="K36" s="3">
        <v>43875</v>
      </c>
      <c r="L36" s="9" t="s">
        <v>2</v>
      </c>
    </row>
    <row r="37" spans="3:12" x14ac:dyDescent="0.25">
      <c r="C37" s="3">
        <v>43874</v>
      </c>
      <c r="D37" s="9" t="s">
        <v>2</v>
      </c>
      <c r="K37" s="3">
        <v>43874</v>
      </c>
      <c r="L37" s="4" t="s">
        <v>4</v>
      </c>
    </row>
    <row r="38" spans="3:12" x14ac:dyDescent="0.25">
      <c r="C38" s="3">
        <v>43873</v>
      </c>
      <c r="D38" s="9" t="s">
        <v>2</v>
      </c>
      <c r="K38" s="3">
        <v>43873</v>
      </c>
      <c r="L38" s="9" t="s">
        <v>2</v>
      </c>
    </row>
    <row r="39" spans="3:12" ht="21" customHeight="1" x14ac:dyDescent="0.25">
      <c r="C39" s="3">
        <v>43872</v>
      </c>
      <c r="D39" s="9" t="s">
        <v>2</v>
      </c>
      <c r="K39" s="3">
        <v>43872</v>
      </c>
      <c r="L39" s="9" t="s">
        <v>2</v>
      </c>
    </row>
    <row r="40" spans="3:12" x14ac:dyDescent="0.25">
      <c r="C40" s="3">
        <v>43871</v>
      </c>
      <c r="D40" s="9" t="s">
        <v>2</v>
      </c>
      <c r="K40" s="3">
        <v>43871</v>
      </c>
      <c r="L40" s="9" t="s">
        <v>2</v>
      </c>
    </row>
    <row r="41" spans="3:12" x14ac:dyDescent="0.25">
      <c r="C41" s="3">
        <v>43870</v>
      </c>
      <c r="D41" s="9" t="s">
        <v>2</v>
      </c>
      <c r="K41" s="3">
        <v>43870</v>
      </c>
      <c r="L41" s="9" t="s">
        <v>2</v>
      </c>
    </row>
    <row r="42" spans="3:12" x14ac:dyDescent="0.25">
      <c r="C42" s="3">
        <v>43869</v>
      </c>
      <c r="D42" s="9" t="s">
        <v>2</v>
      </c>
      <c r="K42" s="3">
        <v>43869</v>
      </c>
      <c r="L42" s="4" t="s">
        <v>4</v>
      </c>
    </row>
    <row r="43" spans="3:12" ht="18.75" customHeight="1" x14ac:dyDescent="0.25">
      <c r="C43" s="3">
        <v>43868</v>
      </c>
      <c r="D43" s="9" t="s">
        <v>2</v>
      </c>
      <c r="K43" s="3">
        <v>43868</v>
      </c>
      <c r="L43" s="9" t="s">
        <v>2</v>
      </c>
    </row>
    <row r="44" spans="3:12" x14ac:dyDescent="0.25">
      <c r="C44" s="3">
        <v>43867</v>
      </c>
      <c r="D44" s="4" t="s">
        <v>4</v>
      </c>
      <c r="K44" s="3">
        <v>43867</v>
      </c>
      <c r="L44" s="9" t="s">
        <v>2</v>
      </c>
    </row>
    <row r="45" spans="3:12" x14ac:dyDescent="0.25">
      <c r="C45" s="5">
        <v>43866</v>
      </c>
      <c r="D45" s="4" t="s">
        <v>4</v>
      </c>
      <c r="K45" s="3">
        <v>43866</v>
      </c>
      <c r="L45" s="10" t="s">
        <v>2</v>
      </c>
    </row>
    <row r="46" spans="3:12" x14ac:dyDescent="0.25">
      <c r="K46" s="3">
        <v>43865</v>
      </c>
      <c r="L46" s="9" t="s">
        <v>2</v>
      </c>
    </row>
  </sheetData>
  <mergeCells count="3">
    <mergeCell ref="K13:L13"/>
    <mergeCell ref="C13:D13"/>
    <mergeCell ref="G13:H1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B258-27EF-484C-B53D-4CC23BFCA9D6}">
  <dimension ref="B7:N7"/>
  <sheetViews>
    <sheetView showGridLines="0" topLeftCell="A4" workbookViewId="0">
      <selection activeCell="B7" sqref="B7:G7"/>
    </sheetView>
  </sheetViews>
  <sheetFormatPr baseColWidth="10" defaultRowHeight="15" x14ac:dyDescent="0.25"/>
  <cols>
    <col min="1" max="1" width="4" customWidth="1"/>
    <col min="2" max="2" width="22.28515625" customWidth="1"/>
    <col min="3" max="3" width="28.7109375" customWidth="1"/>
    <col min="4" max="4" width="14.140625" bestFit="1" customWidth="1"/>
    <col min="5" max="5" width="23.5703125" customWidth="1"/>
  </cols>
  <sheetData>
    <row r="7" spans="2:14" ht="21" x14ac:dyDescent="0.35">
      <c r="B7" s="66" t="s">
        <v>59</v>
      </c>
      <c r="C7" s="67"/>
      <c r="D7" s="67"/>
      <c r="E7" s="67"/>
      <c r="F7" s="67"/>
      <c r="G7" s="68"/>
      <c r="I7" s="70" t="s">
        <v>68</v>
      </c>
      <c r="J7" s="70"/>
      <c r="K7" s="70"/>
      <c r="L7" s="70"/>
      <c r="M7" s="70"/>
      <c r="N7" s="40"/>
    </row>
  </sheetData>
  <mergeCells count="2">
    <mergeCell ref="B7:G7"/>
    <mergeCell ref="I7:M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4CC8-642C-4673-8840-52A5A0531B70}">
  <dimension ref="B7:M7"/>
  <sheetViews>
    <sheetView showGridLines="0" topLeftCell="A7" workbookViewId="0">
      <selection activeCell="B7" sqref="B7:G7"/>
    </sheetView>
  </sheetViews>
  <sheetFormatPr baseColWidth="10" defaultRowHeight="15" x14ac:dyDescent="0.25"/>
  <cols>
    <col min="1" max="1" width="4" customWidth="1"/>
    <col min="2" max="2" width="22.28515625" customWidth="1"/>
    <col min="3" max="3" width="28.7109375" customWidth="1"/>
    <col min="4" max="4" width="14.140625" bestFit="1" customWidth="1"/>
    <col min="5" max="5" width="23.5703125" customWidth="1"/>
  </cols>
  <sheetData>
    <row r="7" spans="2:13" ht="21" x14ac:dyDescent="0.35">
      <c r="B7" s="66" t="s">
        <v>63</v>
      </c>
      <c r="C7" s="67"/>
      <c r="D7" s="67"/>
      <c r="E7" s="67"/>
      <c r="F7" s="67"/>
      <c r="G7" s="68"/>
      <c r="I7" s="70" t="s">
        <v>68</v>
      </c>
      <c r="J7" s="70"/>
      <c r="K7" s="70"/>
      <c r="L7" s="70"/>
      <c r="M7" s="70"/>
    </row>
  </sheetData>
  <mergeCells count="2">
    <mergeCell ref="B7:G7"/>
    <mergeCell ref="I7:M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5E76-AD7F-4D31-B712-4EE8F03F7145}">
  <dimension ref="B7:M7"/>
  <sheetViews>
    <sheetView showGridLines="0" workbookViewId="0">
      <selection activeCell="B7" sqref="B7:G7"/>
    </sheetView>
  </sheetViews>
  <sheetFormatPr baseColWidth="10" defaultRowHeight="15" x14ac:dyDescent="0.25"/>
  <cols>
    <col min="1" max="1" width="4" customWidth="1"/>
    <col min="2" max="2" width="22.28515625" customWidth="1"/>
    <col min="3" max="3" width="28.7109375" customWidth="1"/>
    <col min="4" max="4" width="14.140625" bestFit="1" customWidth="1"/>
    <col min="5" max="5" width="23.5703125" customWidth="1"/>
  </cols>
  <sheetData>
    <row r="7" spans="2:13" ht="21" x14ac:dyDescent="0.35">
      <c r="B7" s="66" t="s">
        <v>64</v>
      </c>
      <c r="C7" s="67"/>
      <c r="D7" s="67"/>
      <c r="E7" s="67"/>
      <c r="F7" s="67"/>
      <c r="G7" s="68"/>
      <c r="I7" s="70" t="s">
        <v>68</v>
      </c>
      <c r="J7" s="70"/>
      <c r="K7" s="70"/>
      <c r="L7" s="70"/>
      <c r="M7" s="70"/>
    </row>
  </sheetData>
  <mergeCells count="2">
    <mergeCell ref="B7:G7"/>
    <mergeCell ref="I7:M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51FB-91F6-46AF-9BDA-2396B48DC65C}">
  <dimension ref="B6:M6"/>
  <sheetViews>
    <sheetView showGridLines="0" workbookViewId="0">
      <selection activeCell="B28" sqref="B28"/>
    </sheetView>
  </sheetViews>
  <sheetFormatPr baseColWidth="10" defaultRowHeight="15" x14ac:dyDescent="0.25"/>
  <cols>
    <col min="1" max="1" width="4" customWidth="1"/>
    <col min="2" max="2" width="22.28515625" customWidth="1"/>
    <col min="3" max="3" width="28.7109375" customWidth="1"/>
    <col min="4" max="4" width="14.140625" bestFit="1" customWidth="1"/>
    <col min="5" max="5" width="23.5703125" customWidth="1"/>
  </cols>
  <sheetData>
    <row r="6" spans="2:13" ht="21" x14ac:dyDescent="0.35">
      <c r="B6" s="66" t="s">
        <v>65</v>
      </c>
      <c r="C6" s="67"/>
      <c r="D6" s="67"/>
      <c r="E6" s="67"/>
      <c r="F6" s="67"/>
      <c r="G6" s="68"/>
      <c r="I6" s="70" t="s">
        <v>68</v>
      </c>
      <c r="J6" s="70"/>
      <c r="K6" s="70"/>
      <c r="L6" s="70"/>
      <c r="M6" s="70"/>
    </row>
  </sheetData>
  <mergeCells count="2">
    <mergeCell ref="B6:G6"/>
    <mergeCell ref="I6:M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4FF8-779E-4CAD-BEEB-F15967CBF335}">
  <dimension ref="B13:E16"/>
  <sheetViews>
    <sheetView showGridLines="0" workbookViewId="0">
      <selection activeCell="E13" sqref="E13"/>
    </sheetView>
  </sheetViews>
  <sheetFormatPr baseColWidth="10" defaultRowHeight="15" x14ac:dyDescent="0.25"/>
  <sheetData>
    <row r="13" spans="2:5" x14ac:dyDescent="0.25">
      <c r="B13" s="20"/>
      <c r="C13" s="20" t="s">
        <v>24</v>
      </c>
      <c r="D13" s="20"/>
      <c r="E13" s="20"/>
    </row>
    <row r="14" spans="2:5" x14ac:dyDescent="0.25">
      <c r="B14" s="20" t="s">
        <v>16</v>
      </c>
      <c r="C14" s="20"/>
      <c r="D14" s="20"/>
      <c r="E14" s="20"/>
    </row>
    <row r="15" spans="2:5" x14ac:dyDescent="0.25">
      <c r="B15" s="20" t="s">
        <v>17</v>
      </c>
      <c r="C15" s="20"/>
      <c r="D15" s="20"/>
      <c r="E15" s="20"/>
    </row>
    <row r="16" spans="2:5" x14ac:dyDescent="0.25">
      <c r="B16" s="20" t="s">
        <v>18</v>
      </c>
      <c r="C16" s="20"/>
      <c r="D16" s="20"/>
      <c r="E16" s="2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4D674F9C79F48BD009C1DEF0FBC03" ma:contentTypeVersion="11" ma:contentTypeDescription="Crear nuevo documento." ma:contentTypeScope="" ma:versionID="afeea67f77f97019f50741a611869092">
  <xsd:schema xmlns:xsd="http://www.w3.org/2001/XMLSchema" xmlns:xs="http://www.w3.org/2001/XMLSchema" xmlns:p="http://schemas.microsoft.com/office/2006/metadata/properties" xmlns:ns3="4a636de8-bd89-4e14-9d96-00c4d29d390e" xmlns:ns4="8b41ed06-dcb8-4b04-8c32-25162da974c5" targetNamespace="http://schemas.microsoft.com/office/2006/metadata/properties" ma:root="true" ma:fieldsID="62926d8e6ecfebdb50ee19f7f7c5d71a" ns3:_="" ns4:_="">
    <xsd:import namespace="4a636de8-bd89-4e14-9d96-00c4d29d390e"/>
    <xsd:import namespace="8b41ed06-dcb8-4b04-8c32-25162da974c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6de8-bd89-4e14-9d96-00c4d29d39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1ed06-dcb8-4b04-8c32-25162da9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3DD9E-8D84-4D07-BDB8-431AAE2D4B87}">
  <ds:schemaRefs>
    <ds:schemaRef ds:uri="http://www.w3.org/XML/1998/namespace"/>
    <ds:schemaRef ds:uri="http://purl.org/dc/terms/"/>
    <ds:schemaRef ds:uri="http://purl.org/dc/elements/1.1/"/>
    <ds:schemaRef ds:uri="4a636de8-bd89-4e14-9d96-00c4d29d390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8b41ed06-dcb8-4b04-8c32-25162da974c5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F83043-7164-46BA-9E48-821AFAC5A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36de8-bd89-4e14-9d96-00c4d29d390e"/>
    <ds:schemaRef ds:uri="8b41ed06-dcb8-4b04-8c32-25162da97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78B68-049F-4DD7-AE6E-5B4E420FE4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CPU</vt:lpstr>
      <vt:lpstr>RAM</vt:lpstr>
      <vt:lpstr>Menú</vt:lpstr>
      <vt:lpstr>Inventario</vt:lpstr>
      <vt:lpstr>Metricas</vt:lpstr>
      <vt:lpstr>Métricas (GRÁFICA) JUL-AGO</vt:lpstr>
      <vt:lpstr>Backup VMs</vt:lpstr>
      <vt:lpstr>Backup general </vt:lpstr>
      <vt:lpstr>Status VPN</vt:lpstr>
      <vt:lpstr>BKP-AVADAZ01</vt:lpstr>
      <vt:lpstr>BKP-AVADFSAZ01</vt:lpstr>
      <vt:lpstr>BKP-AVADFSPAZ01</vt:lpstr>
      <vt:lpstr>BKP-AVRPA01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 Rivas Cristian Mauricio</dc:creator>
  <cp:lastModifiedBy>Julián  Loza</cp:lastModifiedBy>
  <dcterms:created xsi:type="dcterms:W3CDTF">2015-12-02T14:51:22Z</dcterms:created>
  <dcterms:modified xsi:type="dcterms:W3CDTF">2022-09-08T16:44:40Z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0x010100C984D674F9C79F48BD009C1DEF0FBC03</vt:lpwstr>
  </property>
</Properties>
</file>