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CHEVYPLAN/IR/"/>
    </mc:Choice>
  </mc:AlternateContent>
  <xr:revisionPtr revIDLastSave="6" documentId="8_{3E9EAD60-68DB-4D07-82EC-BC159217B4C6}" xr6:coauthVersionLast="47" xr6:coauthVersionMax="47" xr10:uidLastSave="{181D8CEA-0B24-4A3B-9E2F-C1CCA4A4B409}"/>
  <bookViews>
    <workbookView xWindow="23880" yWindow="-120" windowWidth="21840" windowHeight="13140" xr2:uid="{14838034-BACB-4F46-B63F-FA988D246975}"/>
  </bookViews>
  <sheets>
    <sheet name="VMs inventario" sheetId="1" r:id="rId1"/>
    <sheet name="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2" l="1"/>
  <c r="B25" i="2"/>
  <c r="D33" i="1"/>
</calcChain>
</file>

<file path=xl/sharedStrings.xml><?xml version="1.0" encoding="utf-8"?>
<sst xmlns="http://schemas.openxmlformats.org/spreadsheetml/2006/main" count="231" uniqueCount="99">
  <si>
    <t>NAME</t>
  </si>
  <si>
    <t>OPERATING SYSTEM</t>
  </si>
  <si>
    <t>SIZE</t>
  </si>
  <si>
    <t>PRIVATE IP ADDRESS</t>
  </si>
  <si>
    <t>PUBLIC IP ADDRESS</t>
  </si>
  <si>
    <t>RESOURCE GROUP</t>
  </si>
  <si>
    <t>LOCATION</t>
  </si>
  <si>
    <t>STATUS</t>
  </si>
  <si>
    <t>TAGS</t>
  </si>
  <si>
    <t>DISKS</t>
  </si>
  <si>
    <t>ECAZLVLACETTI</t>
  </si>
  <si>
    <t>Linux</t>
  </si>
  <si>
    <t>Standard_B2s</t>
  </si>
  <si>
    <t>10.0.0.4</t>
  </si>
  <si>
    <t>104.42.75.112</t>
  </si>
  <si>
    <t>planautomotor</t>
  </si>
  <si>
    <t>West US</t>
  </si>
  <si>
    <t>Running</t>
  </si>
  <si>
    <t>ECAZWVCAMARO</t>
  </si>
  <si>
    <t>Windows</t>
  </si>
  <si>
    <t>Standard_B4ms</t>
  </si>
  <si>
    <t>10.128.0.7</t>
  </si>
  <si>
    <t>-</t>
  </si>
  <si>
    <t>produccion</t>
  </si>
  <si>
    <t>East US</t>
  </si>
  <si>
    <t>ECAZWVCAPTIVA</t>
  </si>
  <si>
    <t>Standard_B2ms</t>
  </si>
  <si>
    <t>10.128.0.13</t>
  </si>
  <si>
    <t>ECAZWVCAVALIER</t>
  </si>
  <si>
    <t>10.128.0.11</t>
  </si>
  <si>
    <t>Lunes - Viernes":"9am - 7pm"</t>
  </si>
  <si>
    <t>ECAZWVCORSA</t>
  </si>
  <si>
    <t>10.128.0.15</t>
  </si>
  <si>
    <t>producciondatalife</t>
  </si>
  <si>
    <t>ECAZWVEQUINOX</t>
  </si>
  <si>
    <t>Standard_E8s_v3</t>
  </si>
  <si>
    <t>10.128.0.30</t>
  </si>
  <si>
    <t>produccionscp</t>
  </si>
  <si>
    <t>ECAZWVIMPALA</t>
  </si>
  <si>
    <t>Standard_D2s_v3</t>
  </si>
  <si>
    <t>10.128.0.18</t>
  </si>
  <si>
    <t>52.149.210.173</t>
  </si>
  <si>
    <t>ECAZWVLUV</t>
  </si>
  <si>
    <t>10.128.0.5</t>
  </si>
  <si>
    <t>Stopped (deallocated)</t>
  </si>
  <si>
    <t>StartShutDown</t>
  </si>
  <si>
    <t>ECAZWVONIX</t>
  </si>
  <si>
    <t>Standard_B20ms</t>
  </si>
  <si>
    <t>10.128.0.10</t>
  </si>
  <si>
    <t>ECAZWVOPTRA</t>
  </si>
  <si>
    <t>10.128.0.17</t>
  </si>
  <si>
    <t>40.117.224.58</t>
  </si>
  <si>
    <t>produccionventas</t>
  </si>
  <si>
    <t>ECAZWVORLANDO</t>
  </si>
  <si>
    <t>10.128.0.14</t>
  </si>
  <si>
    <t>Lunes - Viernes":"8am - 8pm</t>
  </si>
  <si>
    <t>ECAZWVPLANAUTO</t>
  </si>
  <si>
    <t>192.168.0.4</t>
  </si>
  <si>
    <t>13.82.25.105</t>
  </si>
  <si>
    <t>ECAZWVSILVERADO</t>
  </si>
  <si>
    <t>10.128.0.32</t>
  </si>
  <si>
    <t>produccionauraquantic_dbb</t>
  </si>
  <si>
    <t>ECAZWVSPIN</t>
  </si>
  <si>
    <t>10.128.0.6</t>
  </si>
  <si>
    <t>ECAZWVSWIFT</t>
  </si>
  <si>
    <t>10.128.0.8</t>
  </si>
  <si>
    <t>ECAZWVTAHOE</t>
  </si>
  <si>
    <t>Standard_E4as_v4</t>
  </si>
  <si>
    <t>10.128.0.54</t>
  </si>
  <si>
    <t>produccion_app_auraquantic</t>
  </si>
  <si>
    <t>ECAZWVTROPPER</t>
  </si>
  <si>
    <t>10.128.0.12</t>
  </si>
  <si>
    <t>ECAZWVVOLT</t>
  </si>
  <si>
    <t>Standard_DS12_v2</t>
  </si>
  <si>
    <t>10.128.0.9</t>
  </si>
  <si>
    <t>Name</t>
  </si>
  <si>
    <t>Status</t>
  </si>
  <si>
    <t>Expiration date</t>
  </si>
  <si>
    <t>Scope</t>
  </si>
  <si>
    <t>Product name</t>
  </si>
  <si>
    <t>Region</t>
  </si>
  <si>
    <t>Quantity</t>
  </si>
  <si>
    <t>D2s_v3-VM_RI_08-02-2021_14-27</t>
  </si>
  <si>
    <t>Expiring</t>
  </si>
  <si>
    <t>Shared</t>
  </si>
  <si>
    <t>eastus</t>
  </si>
  <si>
    <t>B2ms-VM_RI_08-02-2021_14-26</t>
  </si>
  <si>
    <t>B4ms-VM_RI_08-02-2021_14-26</t>
  </si>
  <si>
    <t>Ds12_v2-VM_RI_08-02-2021_14-27</t>
  </si>
  <si>
    <t>E4as_v4-VM_RI_08-02-2021_14-28</t>
  </si>
  <si>
    <t>E8s_v3-VM_RI_08-02-2021_14-28</t>
  </si>
  <si>
    <t>B2s-VM_RI_08-02-2021_14-26</t>
  </si>
  <si>
    <t>B20ms-VM_RI_08-02-2021_14-27</t>
  </si>
  <si>
    <t>B2s-VM_RI_08-02-2021_14-27</t>
  </si>
  <si>
    <t>westus</t>
  </si>
  <si>
    <t>StartShutDown 1:00 AM</t>
  </si>
  <si>
    <t>Apagado de VM</t>
  </si>
  <si>
    <t>Plantillas IR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</si>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</sst>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  <font>
      <sz val="8"/>
      <color rgb="FFFF0000"/>
      <name val="Segoe UI"/>
      <family val="2"/>
    </font>
    <font>
      <sz val="8"/>
      <color theme="4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/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4" fillId="0" borderId="0" xfId="0" applyFont="1"/>
    <xf numFmtId="0" fontId="0" fillId="0" borderId="0" xfId="0"/>
    <xf numFmtId="14" fontId="0" fillId="0" borderId="0" xfId="0" applyNumberFormat="1"/>
    <xf numFmtId="0" fontId="2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numFmt numFmtId="19" formatCode="d/m/yyyy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7F306-6C67-4184-97C2-B106845E139F}" name="Tabla1" displayName="Tabla1" ref="A1:J19" totalsRowShown="0" headerRowDxfId="12" dataDxfId="11">
  <autoFilter ref="A1:J19" xr:uid="{A897F306-6C67-4184-97C2-B106845E139F}"/>
  <tableColumns count="10">
    <tableColumn id="1" xr3:uid="{D2C5AE26-5190-44D6-AEDA-B209F644C676}" name="NAME" dataDxfId="10"/>
    <tableColumn id="2" xr3:uid="{6000EFD7-4B59-4B19-A091-23A9AFF7B3CB}" name="OPERATING SYSTEM" dataDxfId="9"/>
    <tableColumn id="3" xr3:uid="{B1CF7FF1-F791-4F06-8025-CB1DCC8EE8E1}" name="SIZE" dataDxfId="8"/>
    <tableColumn id="4" xr3:uid="{D286AEE9-4A84-42CD-96D9-2A56F1F87B6D}" name="PRIVATE IP ADDRESS" dataDxfId="7"/>
    <tableColumn id="5" xr3:uid="{E963CC81-D6F2-41FF-BADB-8F0BED461528}" name="PUBLIC IP ADDRESS" dataDxfId="6"/>
    <tableColumn id="6" xr3:uid="{3137B560-A28C-4AC9-9808-6083C9997552}" name="RESOURCE GROUP" dataDxfId="5"/>
    <tableColumn id="7" xr3:uid="{AAFF5725-3820-443E-913F-0CA64476B606}" name="LOCATION" dataDxfId="4"/>
    <tableColumn id="8" xr3:uid="{2BCB141D-BC9C-4EB6-96AA-0F7DECF465C7}" name="STATUS" dataDxfId="3"/>
    <tableColumn id="9" xr3:uid="{C4107933-D57A-42B2-ADDD-7CB2CD654A51}" name="TAGS"/>
    <tableColumn id="10" xr3:uid="{7AEAF46D-951F-4C30-A478-CF0E94D6F3A3}" name="DISKS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8F218-F1AE-4921-BACE-6A2ABA642DD5}" name="Tabla3" displayName="Tabla3" ref="C24:D33" totalsRowShown="0">
  <autoFilter ref="C24:D33" xr:uid="{6A58F218-F1AE-4921-BACE-6A2ABA642DD5}"/>
  <tableColumns count="2">
    <tableColumn id="1" xr3:uid="{943B6C44-FD79-4EFA-A3DB-1F10A92EEAC2}" name="Plantillas IR"/>
    <tableColumn id="2" xr3:uid="{6A4AC8FC-3183-4D61-BA3E-61E8555C2662}" name="Cantida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A5C47-6CA9-4EE0-8A75-6B557A037076}" name="Tabla2" displayName="Tabla2" ref="A1:G11" totalsRowCount="1">
  <autoFilter ref="A1:G10" xr:uid="{C78A5C47-6CA9-4EE0-8A75-6B557A037076}"/>
  <tableColumns count="7">
    <tableColumn id="1" xr3:uid="{09393FB0-0645-426C-B1B1-F306801E4B5D}" name="Name"/>
    <tableColumn id="2" xr3:uid="{B5DEF786-737A-498D-8C1E-E471D92F8E7D}" name="Status"/>
    <tableColumn id="3" xr3:uid="{2D763728-500E-48A3-BD27-F30242E93829}" name="Expiration date" dataDxfId="1" totalsRowDxfId="0"/>
    <tableColumn id="6" xr3:uid="{CEE54241-EFD4-4673-9C91-95DC90813DCF}" name="Scope"/>
    <tableColumn id="7" xr3:uid="{97DD089F-D36A-4F2D-962D-91E65C749D08}" name="Product name"/>
    <tableColumn id="8" xr3:uid="{52DD889C-0888-42F5-BB32-9525A18D9C1C}" name="Region"/>
    <tableColumn id="9" xr3:uid="{9BF6C5D5-1171-47A3-B244-00D8E7D6DFBC}" name="Quantity" totalsRowFunction="custom">
      <totalsRowFormula>SUM(G2:G10)</totalsRow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F92708-3EB2-4CAC-BEF0-1EB495390F2F}" name="Tabla35" displayName="Tabla35" ref="A16:B25" totalsRowShown="0">
  <autoFilter ref="A16:B25" xr:uid="{14F92708-3EB2-4CAC-BEF0-1EB495390F2F}"/>
  <tableColumns count="2">
    <tableColumn id="1" xr3:uid="{C92B64B4-6BB6-4780-AF3B-FB3743DC4573}" name="Plantillas IR"/>
    <tableColumn id="2" xr3:uid="{EC455A3F-B06B-4739-B14E-25E168A476EF}" name="Cantida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CC2C-CBDF-440F-AF61-A9FF3D14604B}">
  <dimension ref="A1:J33"/>
  <sheetViews>
    <sheetView showGridLines="0" tabSelected="1" workbookViewId="0">
      <selection activeCell="I17" sqref="I17"/>
    </sheetView>
  </sheetViews>
  <sheetFormatPr baseColWidth="10" defaultRowHeight="15" x14ac:dyDescent="0.25"/>
  <cols>
    <col min="1" max="1" width="15.5703125" bestFit="1" customWidth="1"/>
    <col min="2" max="2" width="17.7109375" customWidth="1"/>
    <col min="3" max="3" width="17.85546875" customWidth="1"/>
    <col min="4" max="4" width="18.140625" customWidth="1"/>
    <col min="5" max="5" width="17.140625" customWidth="1"/>
    <col min="6" max="6" width="22.85546875" bestFit="1" customWidth="1"/>
    <col min="8" max="8" width="17.28515625" bestFit="1" customWidth="1"/>
    <col min="9" max="9" width="22.1406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2"/>
      <c r="J2" s="4">
        <v>1</v>
      </c>
    </row>
    <row r="3" spans="1:10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17</v>
      </c>
      <c r="I3" s="2"/>
      <c r="J3" s="4">
        <v>2</v>
      </c>
    </row>
    <row r="4" spans="1:10" x14ac:dyDescent="0.25">
      <c r="A4" s="1" t="s">
        <v>25</v>
      </c>
      <c r="B4" s="3" t="s">
        <v>19</v>
      </c>
      <c r="C4" s="3" t="s">
        <v>26</v>
      </c>
      <c r="D4" s="3" t="s">
        <v>27</v>
      </c>
      <c r="E4" s="3" t="s">
        <v>22</v>
      </c>
      <c r="F4" s="3" t="s">
        <v>23</v>
      </c>
      <c r="G4" s="3" t="s">
        <v>24</v>
      </c>
      <c r="H4" s="3" t="s">
        <v>17</v>
      </c>
      <c r="I4" s="2"/>
      <c r="J4" s="4">
        <v>1</v>
      </c>
    </row>
    <row r="5" spans="1:10" x14ac:dyDescent="0.25">
      <c r="A5" s="3" t="s">
        <v>28</v>
      </c>
      <c r="B5" s="3" t="s">
        <v>19</v>
      </c>
      <c r="C5" s="3" t="s">
        <v>20</v>
      </c>
      <c r="D5" s="3" t="s">
        <v>29</v>
      </c>
      <c r="E5" s="3" t="s">
        <v>22</v>
      </c>
      <c r="F5" s="3" t="s">
        <v>23</v>
      </c>
      <c r="G5" s="3" t="s">
        <v>24</v>
      </c>
      <c r="H5" s="3" t="s">
        <v>17</v>
      </c>
      <c r="I5" s="8" t="s">
        <v>30</v>
      </c>
      <c r="J5" s="4">
        <v>4</v>
      </c>
    </row>
    <row r="6" spans="1:10" x14ac:dyDescent="0.25">
      <c r="A6" s="3" t="s">
        <v>31</v>
      </c>
      <c r="B6" s="3" t="s">
        <v>19</v>
      </c>
      <c r="C6" s="3" t="s">
        <v>26</v>
      </c>
      <c r="D6" s="3" t="s">
        <v>32</v>
      </c>
      <c r="E6" s="3" t="s">
        <v>22</v>
      </c>
      <c r="F6" s="3" t="s">
        <v>33</v>
      </c>
      <c r="G6" s="3" t="s">
        <v>24</v>
      </c>
      <c r="H6" s="8" t="s">
        <v>44</v>
      </c>
      <c r="I6" s="8" t="s">
        <v>96</v>
      </c>
      <c r="J6" s="4">
        <v>3</v>
      </c>
    </row>
    <row r="7" spans="1:10" x14ac:dyDescent="0.25">
      <c r="A7" s="1" t="s">
        <v>34</v>
      </c>
      <c r="B7" s="3" t="s">
        <v>19</v>
      </c>
      <c r="C7" s="3" t="s">
        <v>35</v>
      </c>
      <c r="D7" s="3" t="s">
        <v>36</v>
      </c>
      <c r="E7" s="3" t="s">
        <v>22</v>
      </c>
      <c r="F7" s="3" t="s">
        <v>37</v>
      </c>
      <c r="G7" s="3" t="s">
        <v>24</v>
      </c>
      <c r="H7" s="3" t="s">
        <v>17</v>
      </c>
      <c r="I7" s="2"/>
      <c r="J7" s="4">
        <v>3</v>
      </c>
    </row>
    <row r="8" spans="1:10" x14ac:dyDescent="0.25">
      <c r="A8" s="1" t="s">
        <v>38</v>
      </c>
      <c r="B8" s="3" t="s">
        <v>19</v>
      </c>
      <c r="C8" s="3" t="s">
        <v>39</v>
      </c>
      <c r="D8" s="3" t="s">
        <v>40</v>
      </c>
      <c r="E8" s="3" t="s">
        <v>41</v>
      </c>
      <c r="F8" s="3" t="s">
        <v>37</v>
      </c>
      <c r="G8" s="3" t="s">
        <v>24</v>
      </c>
      <c r="H8" s="3" t="s">
        <v>17</v>
      </c>
      <c r="I8" s="2"/>
      <c r="J8" s="4">
        <v>1</v>
      </c>
    </row>
    <row r="9" spans="1:10" x14ac:dyDescent="0.25">
      <c r="A9" s="3" t="s">
        <v>42</v>
      </c>
      <c r="B9" s="3" t="s">
        <v>19</v>
      </c>
      <c r="C9" s="3" t="s">
        <v>20</v>
      </c>
      <c r="D9" s="3" t="s">
        <v>43</v>
      </c>
      <c r="E9" s="3" t="s">
        <v>22</v>
      </c>
      <c r="F9" s="3" t="s">
        <v>23</v>
      </c>
      <c r="G9" s="3" t="s">
        <v>24</v>
      </c>
      <c r="H9" s="8" t="s">
        <v>44</v>
      </c>
      <c r="I9" s="8" t="s">
        <v>45</v>
      </c>
      <c r="J9" s="4">
        <v>4</v>
      </c>
    </row>
    <row r="10" spans="1:10" x14ac:dyDescent="0.25">
      <c r="A10" s="3" t="s">
        <v>46</v>
      </c>
      <c r="B10" s="3" t="s">
        <v>19</v>
      </c>
      <c r="C10" s="3" t="s">
        <v>47</v>
      </c>
      <c r="D10" s="3" t="s">
        <v>48</v>
      </c>
      <c r="E10" s="3" t="s">
        <v>22</v>
      </c>
      <c r="F10" s="3" t="s">
        <v>23</v>
      </c>
      <c r="G10" s="3" t="s">
        <v>24</v>
      </c>
      <c r="H10" s="8" t="s">
        <v>44</v>
      </c>
      <c r="I10" s="8" t="s">
        <v>95</v>
      </c>
      <c r="J10" s="4">
        <v>6</v>
      </c>
    </row>
    <row r="11" spans="1:10" x14ac:dyDescent="0.25">
      <c r="A11" s="3" t="s">
        <v>49</v>
      </c>
      <c r="B11" s="3" t="s">
        <v>19</v>
      </c>
      <c r="C11" s="3" t="s">
        <v>39</v>
      </c>
      <c r="D11" s="3" t="s">
        <v>50</v>
      </c>
      <c r="E11" s="3" t="s">
        <v>51</v>
      </c>
      <c r="F11" s="3" t="s">
        <v>52</v>
      </c>
      <c r="G11" s="3" t="s">
        <v>24</v>
      </c>
      <c r="H11" s="3" t="s">
        <v>17</v>
      </c>
      <c r="I11" s="2"/>
      <c r="J11" s="4">
        <v>1</v>
      </c>
    </row>
    <row r="12" spans="1:10" x14ac:dyDescent="0.25">
      <c r="A12" s="3" t="s">
        <v>53</v>
      </c>
      <c r="B12" s="3" t="s">
        <v>19</v>
      </c>
      <c r="C12" s="3" t="s">
        <v>12</v>
      </c>
      <c r="D12" s="3" t="s">
        <v>54</v>
      </c>
      <c r="E12" s="3" t="s">
        <v>22</v>
      </c>
      <c r="F12" s="3" t="s">
        <v>23</v>
      </c>
      <c r="G12" s="3" t="s">
        <v>24</v>
      </c>
      <c r="H12" s="3" t="s">
        <v>17</v>
      </c>
      <c r="I12" s="8" t="s">
        <v>55</v>
      </c>
      <c r="J12" s="4">
        <v>1</v>
      </c>
    </row>
    <row r="13" spans="1:10" x14ac:dyDescent="0.25">
      <c r="A13" s="1" t="s">
        <v>56</v>
      </c>
      <c r="B13" s="3" t="s">
        <v>19</v>
      </c>
      <c r="C13" s="3" t="s">
        <v>26</v>
      </c>
      <c r="D13" s="3" t="s">
        <v>57</v>
      </c>
      <c r="E13" s="3" t="s">
        <v>58</v>
      </c>
      <c r="F13" s="3" t="s">
        <v>15</v>
      </c>
      <c r="G13" s="3" t="s">
        <v>24</v>
      </c>
      <c r="H13" s="3" t="s">
        <v>17</v>
      </c>
      <c r="I13" s="2"/>
      <c r="J13" s="4">
        <v>1</v>
      </c>
    </row>
    <row r="14" spans="1:10" x14ac:dyDescent="0.25">
      <c r="A14" s="1" t="s">
        <v>59</v>
      </c>
      <c r="B14" s="3" t="s">
        <v>19</v>
      </c>
      <c r="C14" s="3" t="s">
        <v>47</v>
      </c>
      <c r="D14" s="3" t="s">
        <v>60</v>
      </c>
      <c r="E14" s="3" t="s">
        <v>22</v>
      </c>
      <c r="F14" s="3" t="s">
        <v>61</v>
      </c>
      <c r="G14" s="3" t="s">
        <v>24</v>
      </c>
      <c r="H14" s="3" t="s">
        <v>17</v>
      </c>
      <c r="I14" s="2"/>
      <c r="J14" s="4">
        <v>4</v>
      </c>
    </row>
    <row r="15" spans="1:10" x14ac:dyDescent="0.25">
      <c r="A15" s="1" t="s">
        <v>62</v>
      </c>
      <c r="B15" s="3" t="s">
        <v>19</v>
      </c>
      <c r="C15" s="3" t="s">
        <v>20</v>
      </c>
      <c r="D15" s="3" t="s">
        <v>63</v>
      </c>
      <c r="E15" s="3" t="s">
        <v>22</v>
      </c>
      <c r="F15" s="3" t="s">
        <v>23</v>
      </c>
      <c r="G15" s="3" t="s">
        <v>24</v>
      </c>
      <c r="H15" s="3" t="s">
        <v>17</v>
      </c>
      <c r="I15" s="2"/>
      <c r="J15" s="4">
        <v>1</v>
      </c>
    </row>
    <row r="16" spans="1:10" x14ac:dyDescent="0.25">
      <c r="A16" s="3" t="s">
        <v>64</v>
      </c>
      <c r="B16" s="3" t="s">
        <v>19</v>
      </c>
      <c r="C16" s="3" t="s">
        <v>20</v>
      </c>
      <c r="D16" s="3" t="s">
        <v>65</v>
      </c>
      <c r="E16" s="3" t="s">
        <v>22</v>
      </c>
      <c r="F16" s="3" t="s">
        <v>23</v>
      </c>
      <c r="G16" s="3" t="s">
        <v>24</v>
      </c>
      <c r="H16" s="3" t="s">
        <v>17</v>
      </c>
      <c r="I16" s="3"/>
      <c r="J16" s="4">
        <v>3</v>
      </c>
    </row>
    <row r="17" spans="1:10" x14ac:dyDescent="0.25">
      <c r="A17" s="3" t="s">
        <v>66</v>
      </c>
      <c r="B17" s="3" t="s">
        <v>19</v>
      </c>
      <c r="C17" s="3" t="s">
        <v>67</v>
      </c>
      <c r="D17" s="3" t="s">
        <v>68</v>
      </c>
      <c r="E17" s="3" t="s">
        <v>22</v>
      </c>
      <c r="F17" s="3" t="s">
        <v>69</v>
      </c>
      <c r="G17" s="3" t="s">
        <v>24</v>
      </c>
      <c r="H17" s="3" t="s">
        <v>17</v>
      </c>
      <c r="I17" s="2"/>
      <c r="J17" s="4">
        <v>3</v>
      </c>
    </row>
    <row r="18" spans="1:10" x14ac:dyDescent="0.25">
      <c r="A18" s="3" t="s">
        <v>70</v>
      </c>
      <c r="B18" s="3" t="s">
        <v>19</v>
      </c>
      <c r="C18" s="3" t="s">
        <v>20</v>
      </c>
      <c r="D18" s="3" t="s">
        <v>71</v>
      </c>
      <c r="E18" s="3" t="s">
        <v>22</v>
      </c>
      <c r="F18" s="3" t="s">
        <v>23</v>
      </c>
      <c r="G18" s="3" t="s">
        <v>24</v>
      </c>
      <c r="H18" s="3" t="s">
        <v>17</v>
      </c>
      <c r="I18" s="3"/>
      <c r="J18" s="4">
        <v>1</v>
      </c>
    </row>
    <row r="19" spans="1:10" x14ac:dyDescent="0.25">
      <c r="A19" s="3" t="s">
        <v>72</v>
      </c>
      <c r="B19" s="3" t="s">
        <v>19</v>
      </c>
      <c r="C19" s="3" t="s">
        <v>73</v>
      </c>
      <c r="D19" s="3" t="s">
        <v>74</v>
      </c>
      <c r="E19" s="3" t="s">
        <v>22</v>
      </c>
      <c r="F19" s="3" t="s">
        <v>23</v>
      </c>
      <c r="G19" s="3" t="s">
        <v>24</v>
      </c>
      <c r="H19" s="3" t="s">
        <v>17</v>
      </c>
      <c r="I19" s="2"/>
      <c r="J19" s="4">
        <v>6</v>
      </c>
    </row>
    <row r="24" spans="1:10" x14ac:dyDescent="0.25">
      <c r="C24" t="s">
        <v>97</v>
      </c>
      <c r="D24" t="s">
        <v>98</v>
      </c>
    </row>
    <row r="25" spans="1:10" x14ac:dyDescent="0.25">
      <c r="C25" t="s">
        <v>47</v>
      </c>
      <c r="D25">
        <v>1</v>
      </c>
    </row>
    <row r="26" spans="1:10" x14ac:dyDescent="0.25">
      <c r="C26" t="s">
        <v>26</v>
      </c>
      <c r="D26">
        <v>2</v>
      </c>
    </row>
    <row r="27" spans="1:10" x14ac:dyDescent="0.25">
      <c r="C27" s="5" t="s">
        <v>12</v>
      </c>
      <c r="D27" s="5">
        <v>1</v>
      </c>
    </row>
    <row r="28" spans="1:10" x14ac:dyDescent="0.25">
      <c r="C28" t="s">
        <v>20</v>
      </c>
      <c r="D28">
        <v>4</v>
      </c>
    </row>
    <row r="29" spans="1:10" x14ac:dyDescent="0.25">
      <c r="C29" t="s">
        <v>39</v>
      </c>
      <c r="D29">
        <v>2</v>
      </c>
    </row>
    <row r="30" spans="1:10" x14ac:dyDescent="0.25">
      <c r="C30" t="s">
        <v>73</v>
      </c>
      <c r="D30">
        <v>1</v>
      </c>
    </row>
    <row r="31" spans="1:10" x14ac:dyDescent="0.25">
      <c r="C31" t="s">
        <v>67</v>
      </c>
      <c r="D31">
        <v>1</v>
      </c>
    </row>
    <row r="32" spans="1:10" x14ac:dyDescent="0.25">
      <c r="C32" t="s">
        <v>35</v>
      </c>
      <c r="D32">
        <v>1</v>
      </c>
    </row>
    <row r="33" spans="4:4" x14ac:dyDescent="0.25">
      <c r="D33">
        <f>SUM(D25:D32)</f>
        <v>13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CAA7-87FC-46E1-8BBD-F1563BEB702E}">
  <dimension ref="A1:G25"/>
  <sheetViews>
    <sheetView showGridLines="0" workbookViewId="0">
      <selection activeCell="E25" sqref="E25"/>
    </sheetView>
  </sheetViews>
  <sheetFormatPr baseColWidth="10" defaultRowHeight="15" x14ac:dyDescent="0.25"/>
  <cols>
    <col min="1" max="1" width="31.140625" bestFit="1" customWidth="1"/>
    <col min="3" max="3" width="23.42578125" customWidth="1"/>
    <col min="5" max="5" width="17.28515625" bestFit="1" customWidth="1"/>
  </cols>
  <sheetData>
    <row r="1" spans="1:7" x14ac:dyDescent="0.25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</row>
    <row r="2" spans="1:7" x14ac:dyDescent="0.25">
      <c r="A2" s="6" t="s">
        <v>82</v>
      </c>
      <c r="B2" s="6" t="s">
        <v>83</v>
      </c>
      <c r="C2" s="7">
        <v>44775</v>
      </c>
      <c r="D2" s="6" t="s">
        <v>84</v>
      </c>
      <c r="E2" s="6" t="s">
        <v>39</v>
      </c>
      <c r="F2" s="6" t="s">
        <v>85</v>
      </c>
      <c r="G2" s="6">
        <v>2</v>
      </c>
    </row>
    <row r="3" spans="1:7" x14ac:dyDescent="0.25">
      <c r="A3" s="6" t="s">
        <v>86</v>
      </c>
      <c r="B3" s="6" t="s">
        <v>83</v>
      </c>
      <c r="C3" s="7">
        <v>44775</v>
      </c>
      <c r="D3" s="6" t="s">
        <v>84</v>
      </c>
      <c r="E3" s="6" t="s">
        <v>26</v>
      </c>
      <c r="F3" s="6" t="s">
        <v>85</v>
      </c>
      <c r="G3" s="6">
        <v>2</v>
      </c>
    </row>
    <row r="4" spans="1:7" x14ac:dyDescent="0.25">
      <c r="A4" s="6" t="s">
        <v>87</v>
      </c>
      <c r="B4" s="6" t="s">
        <v>83</v>
      </c>
      <c r="C4" s="7">
        <v>44775</v>
      </c>
      <c r="D4" s="6" t="s">
        <v>84</v>
      </c>
      <c r="E4" s="6" t="s">
        <v>20</v>
      </c>
      <c r="F4" s="6" t="s">
        <v>85</v>
      </c>
      <c r="G4" s="6">
        <v>4</v>
      </c>
    </row>
    <row r="5" spans="1:7" x14ac:dyDescent="0.25">
      <c r="A5" s="6" t="s">
        <v>88</v>
      </c>
      <c r="B5" s="6" t="s">
        <v>83</v>
      </c>
      <c r="C5" s="7">
        <v>44775</v>
      </c>
      <c r="D5" s="6" t="s">
        <v>84</v>
      </c>
      <c r="E5" s="6" t="s">
        <v>73</v>
      </c>
      <c r="F5" s="6" t="s">
        <v>85</v>
      </c>
      <c r="G5" s="6">
        <v>1</v>
      </c>
    </row>
    <row r="6" spans="1:7" x14ac:dyDescent="0.25">
      <c r="A6" s="6" t="s">
        <v>89</v>
      </c>
      <c r="B6" s="6" t="s">
        <v>83</v>
      </c>
      <c r="C6" s="7">
        <v>44775</v>
      </c>
      <c r="D6" s="6" t="s">
        <v>84</v>
      </c>
      <c r="E6" s="6" t="s">
        <v>67</v>
      </c>
      <c r="F6" s="6" t="s">
        <v>85</v>
      </c>
      <c r="G6" s="6">
        <v>1</v>
      </c>
    </row>
    <row r="7" spans="1:7" x14ac:dyDescent="0.25">
      <c r="A7" s="6" t="s">
        <v>90</v>
      </c>
      <c r="B7" s="6" t="s">
        <v>83</v>
      </c>
      <c r="C7" s="7">
        <v>44775</v>
      </c>
      <c r="D7" s="6" t="s">
        <v>84</v>
      </c>
      <c r="E7" s="6" t="s">
        <v>35</v>
      </c>
      <c r="F7" s="6" t="s">
        <v>85</v>
      </c>
      <c r="G7" s="6">
        <v>1</v>
      </c>
    </row>
    <row r="8" spans="1:7" x14ac:dyDescent="0.25">
      <c r="A8" s="6" t="s">
        <v>91</v>
      </c>
      <c r="B8" s="6" t="s">
        <v>83</v>
      </c>
      <c r="C8" s="7">
        <v>44775</v>
      </c>
      <c r="D8" s="6" t="s">
        <v>84</v>
      </c>
      <c r="E8" s="6" t="s">
        <v>12</v>
      </c>
      <c r="F8" s="6" t="s">
        <v>85</v>
      </c>
      <c r="G8" s="6">
        <v>2</v>
      </c>
    </row>
    <row r="9" spans="1:7" x14ac:dyDescent="0.25">
      <c r="A9" s="6" t="s">
        <v>92</v>
      </c>
      <c r="B9" s="6" t="s">
        <v>83</v>
      </c>
      <c r="C9" s="7">
        <v>44775</v>
      </c>
      <c r="D9" s="6" t="s">
        <v>84</v>
      </c>
      <c r="E9" s="6" t="s">
        <v>47</v>
      </c>
      <c r="F9" s="6" t="s">
        <v>85</v>
      </c>
      <c r="G9" s="6">
        <v>1</v>
      </c>
    </row>
    <row r="10" spans="1:7" x14ac:dyDescent="0.25">
      <c r="A10" s="6" t="s">
        <v>93</v>
      </c>
      <c r="B10" s="6" t="s">
        <v>83</v>
      </c>
      <c r="C10" s="7">
        <v>44775</v>
      </c>
      <c r="D10" s="6" t="s">
        <v>84</v>
      </c>
      <c r="E10" s="6" t="s">
        <v>12</v>
      </c>
      <c r="F10" s="6" t="s">
        <v>94</v>
      </c>
      <c r="G10" s="6">
        <v>1</v>
      </c>
    </row>
    <row r="11" spans="1:7" x14ac:dyDescent="0.25">
      <c r="C11" s="7"/>
      <c r="G11">
        <f>SUM(G2:G10)</f>
        <v>15</v>
      </c>
    </row>
    <row r="16" spans="1:7" x14ac:dyDescent="0.25">
      <c r="A16" s="6" t="s">
        <v>97</v>
      </c>
      <c r="B16" s="6" t="s">
        <v>98</v>
      </c>
    </row>
    <row r="17" spans="1:2" x14ac:dyDescent="0.25">
      <c r="A17" s="6" t="s">
        <v>47</v>
      </c>
      <c r="B17" s="6">
        <v>1</v>
      </c>
    </row>
    <row r="18" spans="1:2" x14ac:dyDescent="0.25">
      <c r="A18" s="6" t="s">
        <v>26</v>
      </c>
      <c r="B18" s="6">
        <v>2</v>
      </c>
    </row>
    <row r="19" spans="1:2" x14ac:dyDescent="0.25">
      <c r="A19" s="5" t="s">
        <v>12</v>
      </c>
      <c r="B19" s="5">
        <v>1</v>
      </c>
    </row>
    <row r="20" spans="1:2" x14ac:dyDescent="0.25">
      <c r="A20" s="6" t="s">
        <v>20</v>
      </c>
      <c r="B20" s="6">
        <v>4</v>
      </c>
    </row>
    <row r="21" spans="1:2" x14ac:dyDescent="0.25">
      <c r="A21" s="6" t="s">
        <v>39</v>
      </c>
      <c r="B21" s="6">
        <v>2</v>
      </c>
    </row>
    <row r="22" spans="1:2" x14ac:dyDescent="0.25">
      <c r="A22" s="6" t="s">
        <v>73</v>
      </c>
      <c r="B22" s="6">
        <v>1</v>
      </c>
    </row>
    <row r="23" spans="1:2" x14ac:dyDescent="0.25">
      <c r="A23" s="6" t="s">
        <v>67</v>
      </c>
      <c r="B23" s="6">
        <v>1</v>
      </c>
    </row>
    <row r="24" spans="1:2" x14ac:dyDescent="0.25">
      <c r="A24" s="6" t="s">
        <v>35</v>
      </c>
      <c r="B24" s="6">
        <v>1</v>
      </c>
    </row>
    <row r="25" spans="1:2" x14ac:dyDescent="0.25">
      <c r="A25" s="6"/>
      <c r="B25" s="6">
        <f>SUM(B17:B24)</f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VMs inventario</vt:lpstr>
      <vt:lpstr>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 Baque Rosales</cp:lastModifiedBy>
  <dcterms:created xsi:type="dcterms:W3CDTF">2022-07-05T16:41:46Z</dcterms:created>
  <dcterms:modified xsi:type="dcterms:W3CDTF">2022-07-07T21:55:14Z</dcterms:modified>
</cp:coreProperties>
</file>