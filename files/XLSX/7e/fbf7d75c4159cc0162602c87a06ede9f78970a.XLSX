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educacion-my.sharepoint.com/personal/diego_baque_grupobusiness_it/Documents/Clientes No administrados/"/>
    </mc:Choice>
  </mc:AlternateContent>
  <xr:revisionPtr revIDLastSave="0" documentId="8_{13B5A172-33C2-4442-810C-191470A68BFC}" xr6:coauthVersionLast="47" xr6:coauthVersionMax="47" xr10:uidLastSave="{00000000-0000-0000-0000-000000000000}"/>
  <bookViews>
    <workbookView xWindow="-120" yWindow="-120" windowWidth="24240" windowHeight="13140" tabRatio="880" activeTab="13" xr2:uid="{0C79E270-2034-457B-9607-0038B1878654}"/>
  </bookViews>
  <sheets>
    <sheet name="API Connection" sheetId="1" r:id="rId1"/>
    <sheet name="Advisor" sheetId="2" state="hidden" r:id="rId2"/>
    <sheet name="SQL database" sheetId="3" state="hidden" r:id="rId3"/>
    <sheet name="Data factory" sheetId="4" state="hidden" r:id="rId4"/>
    <sheet name="Disco" sheetId="5" r:id="rId5"/>
    <sheet name="CDN" sheetId="6" state="hidden" r:id="rId6"/>
    <sheet name="IP publicas" sheetId="7" r:id="rId7"/>
    <sheet name="Todos los recursos" sheetId="8" state="hidden" r:id="rId8"/>
    <sheet name="Analysis Services" sheetId="16" state="hidden" r:id="rId9"/>
    <sheet name="Mysql" sheetId="9" state="hidden" r:id="rId10"/>
    <sheet name="Function" sheetId="10" state="hidden" r:id="rId11"/>
    <sheet name="App Service" sheetId="11" state="hidden" r:id="rId12"/>
    <sheet name="Detalle" sheetId="17" r:id="rId13"/>
    <sheet name="VMs" sheetId="13" r:id="rId14"/>
    <sheet name="Application Insights" sheetId="14" state="hidden" r:id="rId15"/>
    <sheet name="SQL server" sheetId="15" state="hidden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14" i="17" l="1"/>
  <c r="G14" i="17"/>
  <c r="I14" i="17"/>
  <c r="I13" i="17"/>
  <c r="G13" i="17"/>
  <c r="E13" i="17"/>
  <c r="I11" i="17"/>
  <c r="I8" i="17"/>
  <c r="I10" i="17"/>
  <c r="G11" i="17"/>
  <c r="E11" i="17"/>
  <c r="C11" i="17"/>
  <c r="G8" i="17"/>
  <c r="G10" i="17"/>
  <c r="E10" i="17"/>
  <c r="E8" i="17"/>
  <c r="C10" i="17"/>
  <c r="C9" i="17"/>
  <c r="C8" i="17"/>
  <c r="R8" i="13"/>
  <c r="R7" i="13"/>
  <c r="Q5" i="13"/>
  <c r="R5" i="13"/>
  <c r="I5" i="13"/>
  <c r="J7" i="13" s="1"/>
  <c r="J5" i="13"/>
  <c r="I6" i="5"/>
  <c r="G4" i="5"/>
  <c r="I4" i="5"/>
  <c r="J8" i="13" l="1"/>
</calcChain>
</file>

<file path=xl/sharedStrings.xml><?xml version="1.0" encoding="utf-8"?>
<sst xmlns="http://schemas.openxmlformats.org/spreadsheetml/2006/main" count="8628" uniqueCount="868">
  <si>
    <t>NAME</t>
  </si>
  <si>
    <t>DISPLAY NAME</t>
  </si>
  <si>
    <t>KIND</t>
  </si>
  <si>
    <t>STATUS</t>
  </si>
  <si>
    <t>TYPE</t>
  </si>
  <si>
    <t>RESOURCE GROUP</t>
  </si>
  <si>
    <t>LOCATION</t>
  </si>
  <si>
    <t>SUBSCRIPTION</t>
  </si>
  <si>
    <t>arm</t>
  </si>
  <si>
    <t>gsoto@losportales.com.pe</t>
  </si>
  <si>
    <t>V1</t>
  </si>
  <si>
    <t>Error</t>
  </si>
  <si>
    <t>API Connection</t>
  </si>
  <si>
    <t>ambientebi</t>
  </si>
  <si>
    <t>East US</t>
  </si>
  <si>
    <t>AzureSimple LOS PORTALES S.A.</t>
  </si>
  <si>
    <t>azureblob</t>
  </si>
  <si>
    <t>CuandoseAgregaUnArchivo</t>
  </si>
  <si>
    <t>Connected</t>
  </si>
  <si>
    <t>ambientedesarrollo</t>
  </si>
  <si>
    <t>ConexionStoragePrd</t>
  </si>
  <si>
    <t>un-estacionamientos</t>
  </si>
  <si>
    <t>azureblob-1</t>
  </si>
  <si>
    <t>Cambioenblob</t>
  </si>
  <si>
    <t>Central US</t>
  </si>
  <si>
    <t>azureblob-2</t>
  </si>
  <si>
    <t>ok</t>
  </si>
  <si>
    <t>azureblob-losportalesdev</t>
  </si>
  <si>
    <t>azureeventgrid</t>
  </si>
  <si>
    <t>soportedesarrollo@losportales.com.pe</t>
  </si>
  <si>
    <t>azurefile</t>
  </si>
  <si>
    <t>RutaOrigen</t>
  </si>
  <si>
    <t>Copiar archivos - BlobStorage a lpcecodb002</t>
  </si>
  <si>
    <t>azuretables</t>
  </si>
  <si>
    <t>filesystem</t>
  </si>
  <si>
    <t>EnviarARuta</t>
  </si>
  <si>
    <t>NuevaConexionLocal</t>
  </si>
  <si>
    <t>filesystem-1</t>
  </si>
  <si>
    <t>CopiaraOnpremise</t>
  </si>
  <si>
    <t>filesystem01</t>
  </si>
  <si>
    <t>filesystem-10</t>
  </si>
  <si>
    <t>servidorlpcecodb002v10</t>
  </si>
  <si>
    <t>filesystem-11</t>
  </si>
  <si>
    <t>filesystem-2</t>
  </si>
  <si>
    <t>prdConexionJockey</t>
  </si>
  <si>
    <t>filesystem-3</t>
  </si>
  <si>
    <t>CnxCarpetaJockey</t>
  </si>
  <si>
    <t>filesystem-4</t>
  </si>
  <si>
    <t>Servidor Lpcecodb002</t>
  </si>
  <si>
    <t>filesystem-5</t>
  </si>
  <si>
    <t>servidorlpcecodb002v2</t>
  </si>
  <si>
    <t>filesystem-6</t>
  </si>
  <si>
    <t>servidorlpcecodb002Jockey</t>
  </si>
  <si>
    <t>filesystem-7</t>
  </si>
  <si>
    <t>servidorlpcecodb002Jockeyv2</t>
  </si>
  <si>
    <t>filesystem-8</t>
  </si>
  <si>
    <t>servidorlpcecodb002v3</t>
  </si>
  <si>
    <t>filesystem-9</t>
  </si>
  <si>
    <t>servidorlpcecodb002v4</t>
  </si>
  <si>
    <t>office365</t>
  </si>
  <si>
    <t>servicebus</t>
  </si>
  <si>
    <t>Recepcion de Mensajes</t>
  </si>
  <si>
    <t>sql</t>
  </si>
  <si>
    <t>SICO</t>
  </si>
  <si>
    <t>ce_sistema_cobranzas</t>
  </si>
  <si>
    <t>sql-1</t>
  </si>
  <si>
    <t>SICO PRD</t>
  </si>
  <si>
    <t>Business Impact</t>
  </si>
  <si>
    <t>Recommendation</t>
  </si>
  <si>
    <t>Subscription ID</t>
  </si>
  <si>
    <t>Subscription Name</t>
  </si>
  <si>
    <t>Resource Group</t>
  </si>
  <si>
    <t>Resource Name</t>
  </si>
  <si>
    <t>Resource Type</t>
  </si>
  <si>
    <t>Updated Date</t>
  </si>
  <si>
    <t>Potential Annual Cost Savings</t>
  </si>
  <si>
    <t>Potential Cost Savings Currency</t>
  </si>
  <si>
    <t>High</t>
  </si>
  <si>
    <t>Buy virtual machine reserved instances to save money over pay-as-you-go costs</t>
  </si>
  <si>
    <t>44a2cf06-9ce3-460b-8a4a-89fcdf3d06da</t>
  </si>
  <si>
    <t>AzureSimple LOS PORTALES S.A. (44a2cf06-9ce3-460b-8a4a-89fcdf3d06da)</t>
  </si>
  <si>
    <t>Virtual machine</t>
  </si>
  <si>
    <t>2022-07-22T20:01:11.362Z</t>
  </si>
  <si>
    <t>USD</t>
  </si>
  <si>
    <t>SERVER</t>
  </si>
  <si>
    <t>PRICING TIER</t>
  </si>
  <si>
    <t>BD_EMPATIA (azdb01-prdcentral/BD_EMPATIA)</t>
  </si>
  <si>
    <t>azdb01-prdcentral</t>
  </si>
  <si>
    <t>Standard S3: 100 DTUs</t>
  </si>
  <si>
    <t>Online</t>
  </si>
  <si>
    <t>v12.0,user</t>
  </si>
  <si>
    <t>SQL database</t>
  </si>
  <si>
    <t>BD_EMPATIA_12052022 (devlpcrm/BD_EMPATIA_12052022)</t>
  </si>
  <si>
    <t>devlpcrm</t>
  </si>
  <si>
    <t>Standard S1: 20 DTUs</t>
  </si>
  <si>
    <t>BD_EMPATIA_BK_26052022 (devlpcrm/BD_EMPATIA_BK_26052022)</t>
  </si>
  <si>
    <t>BD_Estacionamientos (azdb01-prdestacionamientos/BD_Estacionamientos)</t>
  </si>
  <si>
    <t>azdb01-prdestacionamientos</t>
  </si>
  <si>
    <t>Basic: 5 DTUs</t>
  </si>
  <si>
    <t>BD_Estacionamientos_Copiar (devlpcrm/BD_Estacionamientos_Copiar)</t>
  </si>
  <si>
    <t>datawarehouse_une (srv-datawarehouse-une/datawarehouse_une)</t>
  </si>
  <si>
    <t>srv-datawarehouse-une</t>
  </si>
  <si>
    <t>dbicom (srvicom/dbicom)</t>
  </si>
  <si>
    <t>srvicom</t>
  </si>
  <si>
    <t>Standard S0: 10 DTUs</t>
  </si>
  <si>
    <t>Dev_BD_EMPATIA_Mejoras (devlpcrm/Dev_BD_EMPATIA_Mejoras)</t>
  </si>
  <si>
    <t>dev_SistemaMantenimientoEstacionamiento (devlpcrm/dev_SistemaMantenimientoEstacionamiento)</t>
  </si>
  <si>
    <t>devBD_EMPATIA (devlpcrm/devBD_EMPATIA)</t>
  </si>
  <si>
    <t>devBD_EMPATIA_14062022 (devlpcrm/devBD_EMPATIA_14062022)</t>
  </si>
  <si>
    <t>devbd_losportaleshoteles (devlpcrm/devbd_losportaleshoteles)</t>
  </si>
  <si>
    <t>devbd_membresias (devlpcrm/devbd_membresias)</t>
  </si>
  <si>
    <t>devBD_PortalesNet_Publicidad (devlpcrm/devBD_PortalesNet_Publicidad)</t>
  </si>
  <si>
    <t>devBD_seguridadcentral (devlpcrm/devBD_seguridadcentral)</t>
  </si>
  <si>
    <t>devBD_SICO (devlpcrm/devBD_SICO)</t>
  </si>
  <si>
    <t>devBD_SICO_08062022 (devlpcrm/devBD_SICO_08062022)</t>
  </si>
  <si>
    <t>devBD_SistemaCapacitacion (devlpcrm/devBD_SistemaCapacitacion)</t>
  </si>
  <si>
    <t>devBD_SistemaCapacitacion_16072022 (devlpcrm/devBD_SistemaCapacitacion_16072022)</t>
  </si>
  <si>
    <t>devBD_SistemaCapacitacion_30062022 (devlpcrm/devBD_SistemaCapacitacion_30062022)</t>
  </si>
  <si>
    <t>devbdPANEL_LICITACIONES (devlpcrm/devbdPANEL_LICITACIONES)</t>
  </si>
  <si>
    <t>devlpcrm (devlpcrm/devlpcrm)</t>
  </si>
  <si>
    <t>devlpcrm_13072022 (devlpcrm/devlpcrm_13072022)</t>
  </si>
  <si>
    <t>devlpcrm_15062022 (devlpcrm/devlpcrm_15062022)</t>
  </si>
  <si>
    <t>devlpcrm_24052022 (devlpcrm/devlpcrm_24052022)</t>
  </si>
  <si>
    <t>devlpcrm_30062022 (devlpcrm/devlpcrm_30062022)</t>
  </si>
  <si>
    <t>devmasterdata (devlpcrm/devmasterdata)</t>
  </si>
  <si>
    <t>devmasterdata_10032022 (devlpcrm/devmasterdata_10032022)</t>
  </si>
  <si>
    <t>devmasterdata_icom (devlpcrm/devmasterdata_icom)</t>
  </si>
  <si>
    <t>devseguridadcentral (azdb01-devautoservicio/devseguridadcentral)</t>
  </si>
  <si>
    <t>azdb01-devautoservicio</t>
  </si>
  <si>
    <t>DWAnalytics (devmlserver/DWAnalytics)</t>
  </si>
  <si>
    <t>devmlserver</t>
  </si>
  <si>
    <t>Standard S2: 50 DTUs</t>
  </si>
  <si>
    <t>prdbd_countryclub (serverhoteles/prdbd_countryclub)</t>
  </si>
  <si>
    <t>serverhoteles</t>
  </si>
  <si>
    <t>prdbd_losportaleshoteles (serverhoteles/prdbd_losportaleshoteles)</t>
  </si>
  <si>
    <t>prdbd_membresias (serverhoteles/prdbd_membresias)</t>
  </si>
  <si>
    <t>prdbd_seguridadcentral (azdb01-prdcentral/prdbd_seguridadcentral)</t>
  </si>
  <si>
    <t>prdBD_SICO (srvsistemacobranzas/prdBD_SICO)</t>
  </si>
  <si>
    <t>srvsistemacobranzas</t>
  </si>
  <si>
    <t>prdBD_SistemaCapacitacion (sqlsrvsistemacapacitacion/prdBD_SistemaCapacitacion)</t>
  </si>
  <si>
    <t>sqlsrvsistemacapacitacion</t>
  </si>
  <si>
    <t>prdbd_weblicitaciones (azdb01-prdcentral/prdbd_weblicitaciones)</t>
  </si>
  <si>
    <t>prdlpcrm (prdlpcrm/prdlpcrm)</t>
  </si>
  <si>
    <t>prdlpcrm</t>
  </si>
  <si>
    <t>prdlpcrm_08072022 (devlpcrm/prdlpcrm_08072022)</t>
  </si>
  <si>
    <t>prdlpcrm_12052022 (devlpcrm/prdlpcrm_12052022)</t>
  </si>
  <si>
    <t>prdlpcrm_27062022 (devlpcrm/prdlpcrm_27062022)</t>
  </si>
  <si>
    <t>prdmasterdata (prdlpcrm/prdmasterdata)</t>
  </si>
  <si>
    <t>prdmasterdata_25042022 (devlpcrm/prdmasterdata_25042022)</t>
  </si>
  <si>
    <t>prdSQLGroupSynapse (prdsqlserversynapse/prdSQLGroupSynapse)</t>
  </si>
  <si>
    <t>prdsqlserversynapse</t>
  </si>
  <si>
    <t>DW100c</t>
  </si>
  <si>
    <t>v12.0,user,datawarehouse,gen2</t>
  </si>
  <si>
    <t>Dedicated SQL pool (formerly SQL DW)</t>
  </si>
  <si>
    <t>qasmasterdata_BIVivienda (devlpcrm/qasmasterdata_BIVivienda)</t>
  </si>
  <si>
    <t>TitoBot (devmlserver/TitoBot)</t>
  </si>
  <si>
    <t>RESOURCE TYPE</t>
  </si>
  <si>
    <t>eliminararchivosantiguos3cx</t>
  </si>
  <si>
    <t>Data factory (V2)</t>
  </si>
  <si>
    <t>microsoft.datafactory/factories</t>
  </si>
  <si>
    <t>fact-analytics-ti</t>
  </si>
  <si>
    <t>fact-autoservicio-sisa</t>
  </si>
  <si>
    <t>fact-datawarehouse-une</t>
  </si>
  <si>
    <t>datawarehouse_une</t>
  </si>
  <si>
    <t>fact-Desarrollo-Central</t>
  </si>
  <si>
    <t>recursos-central</t>
  </si>
  <si>
    <t>fact-Desarrollo-Estacionamientos</t>
  </si>
  <si>
    <t>estacionamientos</t>
  </si>
  <si>
    <t>fact-Desarrollo-Vivienda</t>
  </si>
  <si>
    <t>un-vivienda</t>
  </si>
  <si>
    <t>fact-icom</t>
  </si>
  <si>
    <t>ambiente_icom</t>
  </si>
  <si>
    <t>STORAGE ACCOUNT TYPE</t>
  </si>
  <si>
    <t>SIZE (GIB)</t>
  </si>
  <si>
    <t>OWNER</t>
  </si>
  <si>
    <t>VMKafka_DataDisk_0</t>
  </si>
  <si>
    <t>Standard SSD LRS</t>
  </si>
  <si>
    <t>VMKafka</t>
  </si>
  <si>
    <t>une_kafka</t>
  </si>
  <si>
    <t>VMKafka_OsDisk_1_37efafe25d99456cb4492223d14edf70</t>
  </si>
  <si>
    <t>SERVICE TYPE</t>
  </si>
  <si>
    <t>cdnhoteles</t>
  </si>
  <si>
    <t>Standard</t>
  </si>
  <si>
    <t>Verizon CDN</t>
  </si>
  <si>
    <t>cdn-hoteles</t>
  </si>
  <si>
    <t>cdn</t>
  </si>
  <si>
    <t>West US</t>
  </si>
  <si>
    <t>cdnlpvivienda</t>
  </si>
  <si>
    <t>cdnvivienda</t>
  </si>
  <si>
    <t>central</t>
  </si>
  <si>
    <t>cdn-central</t>
  </si>
  <si>
    <t>estacionamientoslp</t>
  </si>
  <si>
    <t>cdn-estacionamientos</t>
  </si>
  <si>
    <t>losportalesdev</t>
  </si>
  <si>
    <t>Classic</t>
  </si>
  <si>
    <t>Microsoft CDN</t>
  </si>
  <si>
    <t>ZONES</t>
  </si>
  <si>
    <t>ASSOCIATED TO</t>
  </si>
  <si>
    <t>IP ADDRESS</t>
  </si>
  <si>
    <t>SKU</t>
  </si>
  <si>
    <t>GW-RedVirtualLP</t>
  </si>
  <si>
    <t>gr-losportales</t>
  </si>
  <si>
    <t>Not applicable</t>
  </si>
  <si>
    <t>-</t>
  </si>
  <si>
    <t>Basic</t>
  </si>
  <si>
    <t>Public IP address</t>
  </si>
  <si>
    <t>ip-publica-desarrollo</t>
  </si>
  <si>
    <t>gateway-desarrollo</t>
  </si>
  <si>
    <t>168.61.219.243</t>
  </si>
  <si>
    <t>ip-waf</t>
  </si>
  <si>
    <t>producciondevops</t>
  </si>
  <si>
    <t>waf-lp01</t>
  </si>
  <si>
    <t>40.83.18.53</t>
  </si>
  <si>
    <t>ipexpressroute</t>
  </si>
  <si>
    <t>gw_expressroutelp</t>
  </si>
  <si>
    <t>13.90.251.69</t>
  </si>
  <si>
    <t>LPLARCOMAR01-ip</t>
  </si>
  <si>
    <t>lplarcomar01132</t>
  </si>
  <si>
    <t>40.76.217.236</t>
  </si>
  <si>
    <t>LPPE-GW-01</t>
  </si>
  <si>
    <t>PuertaVirtualParkare</t>
  </si>
  <si>
    <t>13.90.130.56</t>
  </si>
  <si>
    <t>textcontrol</t>
  </si>
  <si>
    <t>textcontrolnetinterface</t>
  </si>
  <si>
    <t>52.186.149.4</t>
  </si>
  <si>
    <t>VMKafka-ip</t>
  </si>
  <si>
    <t>vmkafka856</t>
  </si>
  <si>
    <t>52.149.210.90</t>
  </si>
  <si>
    <t>wafdev</t>
  </si>
  <si>
    <t>waf-dev</t>
  </si>
  <si>
    <t>40.87.105.149</t>
  </si>
  <si>
    <t>31218a3f-18b4-4187-959e-a95387f19870-dashboard (EMPATIA-Analitica Dashboard)</t>
  </si>
  <si>
    <t>Shared dashboard</t>
  </si>
  <si>
    <t>microsoft.portal/dashboards</t>
  </si>
  <si>
    <t>318caaa7-536e-41fd-814f-f2d442acec76-dashboard (Web Vivienda)</t>
  </si>
  <si>
    <t>web-vivienda</t>
  </si>
  <si>
    <t>7d3f849c-ce12-485b-940b-d85110ce1832-dashboard (CRM Inmobiliario)</t>
  </si>
  <si>
    <t>crm-inmobiliaria</t>
  </si>
  <si>
    <t>AI_TodosSitios</t>
  </si>
  <si>
    <t>Application Insights</t>
  </si>
  <si>
    <t>microsoft.insights/components</t>
  </si>
  <si>
    <t>web</t>
  </si>
  <si>
    <t>ambientedesarrolloa26c</t>
  </si>
  <si>
    <t>Storage account</t>
  </si>
  <si>
    <t>Brazil South</t>
  </si>
  <si>
    <t>microsoft.storage/storageaccounts</t>
  </si>
  <si>
    <t>Storage</t>
  </si>
  <si>
    <t>ambientedesarrolloaa03</t>
  </si>
  <si>
    <t>ambientedesarrolloaf8f</t>
  </si>
  <si>
    <t>analytics-automation</t>
  </si>
  <si>
    <t>Automation Account</t>
  </si>
  <si>
    <t>microsoft.automation/automationaccounts</t>
  </si>
  <si>
    <t>arenasdeica</t>
  </si>
  <si>
    <t>App Service</t>
  </si>
  <si>
    <t>microsoft.web/sites</t>
  </si>
  <si>
    <t>app</t>
  </si>
  <si>
    <t>microsoft.web/connections</t>
  </si>
  <si>
    <t>ASP-AmbienteDesarrollo-8332</t>
  </si>
  <si>
    <t>App Service plan</t>
  </si>
  <si>
    <t>microsoft.web/serverfarms</t>
  </si>
  <si>
    <t>functionapp</t>
  </si>
  <si>
    <t>ASP-AmbienteDesarrollo-847b</t>
  </si>
  <si>
    <t>ASP-AmbienteDesarrollo-85ee</t>
  </si>
  <si>
    <t>ASP-AmbienteDesarrollo-89d0</t>
  </si>
  <si>
    <t>ASP-AmbienteDesarrollo-8b8d</t>
  </si>
  <si>
    <t>ASP-AmbienteDesarrollo-8f23</t>
  </si>
  <si>
    <t>ASP-AmbienteDesarrollo-91b0</t>
  </si>
  <si>
    <t>ASP-AmbienteDesarrollo-91e7</t>
  </si>
  <si>
    <t>ASP-AmbienteDesarrollo-9222</t>
  </si>
  <si>
    <t>ASP-AmbienteDesarrollo-9740</t>
  </si>
  <si>
    <t>ASP-AmbienteDesarrollo-9792</t>
  </si>
  <si>
    <t>ASP-AmbienteDesarrollo-9c83</t>
  </si>
  <si>
    <t>ASP-AmbienteDesarrollo-a2dd</t>
  </si>
  <si>
    <t>East US 2</t>
  </si>
  <si>
    <t>ASP-AmbienteDesarrollo-a406</t>
  </si>
  <si>
    <t>ASP-AmbienteDesarrollo-a639</t>
  </si>
  <si>
    <t>ASP-AmbienteDesarrollo-a8ce</t>
  </si>
  <si>
    <t>ASP-AmbienteDesarrollo-a8f1</t>
  </si>
  <si>
    <t>ASP-AmbienteDesarrollo-acbd</t>
  </si>
  <si>
    <t>ASP-AmbienteDesarrollo-afcf</t>
  </si>
  <si>
    <t>ASP-AmbienteDesarrollo-b07c</t>
  </si>
  <si>
    <t>ASP-AmbienteDesarrollo-b166</t>
  </si>
  <si>
    <t>ASP-AmbienteDesarrollo-b4fa</t>
  </si>
  <si>
    <t>ASP-AmbienteDesarrollo-b65d</t>
  </si>
  <si>
    <t>ASP-AmbienteDesarrollo-b6a5</t>
  </si>
  <si>
    <t>ASP-CESistemaCobranzas-9025</t>
  </si>
  <si>
    <t>ASP-CESistemaCobranzas-a7e1</t>
  </si>
  <si>
    <t>ASP-CRMInmobiliaria-95b7</t>
  </si>
  <si>
    <t>ASP-CRMInmobiliaria-a82e</t>
  </si>
  <si>
    <t>ASP-CRMInmobiliaria-aadb</t>
  </si>
  <si>
    <t>ASP-devmicuentaviviendareact-b9d6</t>
  </si>
  <si>
    <t>ASP-GestionDocumentosSAC-a28c</t>
  </si>
  <si>
    <t>ASP-GestionDocumentosSAC-acd6</t>
  </si>
  <si>
    <t>ASP-RecursosCentral-8d1a</t>
  </si>
  <si>
    <t>ASP-RecursosCentral-9a21</t>
  </si>
  <si>
    <t>ASP-UNEstacionamientos-8201</t>
  </si>
  <si>
    <t>AssOFF (analytics-automation/AssOFF)</t>
  </si>
  <si>
    <t>Runbook</t>
  </si>
  <si>
    <t>microsoft.automation/automationaccounts/runbooks</t>
  </si>
  <si>
    <t>AssON (analytics-automation/AssON)</t>
  </si>
  <si>
    <t>AssRefresh (analytics-automation/AssRefresh)</t>
  </si>
  <si>
    <t>SQL server</t>
  </si>
  <si>
    <t>microsoft.sql/servers</t>
  </si>
  <si>
    <t>v12.0</t>
  </si>
  <si>
    <t>azdb01-devcupones</t>
  </si>
  <si>
    <t>Azure Database for MySQL single server</t>
  </si>
  <si>
    <t>microsoft.dbformysql/servers</t>
  </si>
  <si>
    <t>web_seguridad_centralizada</t>
  </si>
  <si>
    <t>estac.lecturaplacascamaralpr</t>
  </si>
  <si>
    <t>azdb01-prdviviendamf</t>
  </si>
  <si>
    <t>viv-newletter</t>
  </si>
  <si>
    <t>AZLP-VNET-01</t>
  </si>
  <si>
    <t>Virtual network</t>
  </si>
  <si>
    <t>microsoft.network/virtualnetworks</t>
  </si>
  <si>
    <t>azlpvmdisk</t>
  </si>
  <si>
    <t>AzureAppGatewayAnalytics(logsanalytics-lp)</t>
  </si>
  <si>
    <t>Solution</t>
  </si>
  <si>
    <t>microsoft.operationsmanagement/solutions</t>
  </si>
  <si>
    <t>AzureAutomationTutorial (analytics-automation/AzureAutomationTutorial)</t>
  </si>
  <si>
    <t>AzureAutomationTutorialPython2 (analytics-automation/AzureAutomationTutorialPython2)</t>
  </si>
  <si>
    <t>AzureAutomationTutorialScript (analytics-automation/AzureAutomationTutorialScript)</t>
  </si>
  <si>
    <t>AzureAutomationTutorialWithIdentity (LPEstacionamientos-Automation/AzureAutomationTutorialWithIdentity)</t>
  </si>
  <si>
    <t>AzureAutomationTutorialWithIdentityGraphical (LPEstacionamientos-Automation/AzureAutomationTutorialWithIdentityGraphical)</t>
  </si>
  <si>
    <t>BackupCGYD2</t>
  </si>
  <si>
    <t>Recovery Services vault</t>
  </si>
  <si>
    <t>grbackupconsorciogyd</t>
  </si>
  <si>
    <t>microsoft.recoveryservices/vaults</t>
  </si>
  <si>
    <t>backupcrmdev</t>
  </si>
  <si>
    <t>BackupLarcomar</t>
  </si>
  <si>
    <t>backupsappservicelp</t>
  </si>
  <si>
    <t>microsoft.sql/servers/databases</t>
  </si>
  <si>
    <t>Front Door and CDN profiles</t>
  </si>
  <si>
    <t>microsoft.cdn/profiles</t>
  </si>
  <si>
    <t>cdnhoteles (cdnhoteles/cdnhoteles)</t>
  </si>
  <si>
    <t>Endpoint</t>
  </si>
  <si>
    <t>microsoft.cdn/profiles/endpoints</t>
  </si>
  <si>
    <t>cdnlpvivienda (cdnlpvivienda/cdnlpvivienda)</t>
  </si>
  <si>
    <t>central (central/central)</t>
  </si>
  <si>
    <t>centrallp</t>
  </si>
  <si>
    <t>StorageV2</t>
  </si>
  <si>
    <t>CentralUSPlan</t>
  </si>
  <si>
    <t>ConexionToParkare</t>
  </si>
  <si>
    <t>Connection</t>
  </si>
  <si>
    <t>microsoft.network/connections</t>
  </si>
  <si>
    <t>connectiondesarrollo</t>
  </si>
  <si>
    <t>cs244a2cf069ce3x460bx8a4</t>
  </si>
  <si>
    <t>cloud-shell-storage-eastus</t>
  </si>
  <si>
    <t>datawarehouseune</t>
  </si>
  <si>
    <t>DefaultWorkspace-44a2cf06-9ce3-460b-8a4a-89fcdf3d06da-EUS</t>
  </si>
  <si>
    <t>Log Analytics workspace</t>
  </si>
  <si>
    <t>defaultresourcegroup-eus</t>
  </si>
  <si>
    <t>microsoft.operationalinsights/workspaces</t>
  </si>
  <si>
    <t>dev-apiseguridadmultifactor</t>
  </si>
  <si>
    <t>dev-doblefactor</t>
  </si>
  <si>
    <t>devadminvia</t>
  </si>
  <si>
    <t>devapi-lp</t>
  </si>
  <si>
    <t>API Management service</t>
  </si>
  <si>
    <t>microsoft.apimanagement/service</t>
  </si>
  <si>
    <t>devapiacortaruri</t>
  </si>
  <si>
    <t>devapiautoserviciocolaborador</t>
  </si>
  <si>
    <t>devapiazuretable</t>
  </si>
  <si>
    <t>devapibackendapparka</t>
  </si>
  <si>
    <t>devapiblobstorage</t>
  </si>
  <si>
    <t>devapiclienteincognito</t>
  </si>
  <si>
    <t>devapicocovi</t>
  </si>
  <si>
    <t>devapicrminmobiliario</t>
  </si>
  <si>
    <t>qa (devapicrminmobiliario/qa)</t>
  </si>
  <si>
    <t>App Service (Slot)</t>
  </si>
  <si>
    <t>microsoft.web/sites/slots</t>
  </si>
  <si>
    <t>tidev (devapicrminmobiliario/tidev)</t>
  </si>
  <si>
    <t>viviendasocial (devapicrminmobiliario/viviendasocial)</t>
  </si>
  <si>
    <t>devapicrmmarketing</t>
  </si>
  <si>
    <t>devapicuponessocio</t>
  </si>
  <si>
    <t>devapidatamartClientes</t>
  </si>
  <si>
    <t>devapiempatia</t>
  </si>
  <si>
    <t>devapigestiondocumentos</t>
  </si>
  <si>
    <t>interno (devapigestiondocumentos/interno)</t>
  </si>
  <si>
    <t>devapigraph</t>
  </si>
  <si>
    <t>devapiintegracionnetsap</t>
  </si>
  <si>
    <t>devapilpsgv</t>
  </si>
  <si>
    <t>externo (devapilpsgv/externo)</t>
  </si>
  <si>
    <t>devapilpsgvcontrolador</t>
  </si>
  <si>
    <t>devapimasterdata</t>
  </si>
  <si>
    <t>devapimasterdatamigracion</t>
  </si>
  <si>
    <t>devapimasterdatamigracionsap</t>
  </si>
  <si>
    <t>devapimfcontactabilidad</t>
  </si>
  <si>
    <t>ambientedesarrollolinux</t>
  </si>
  <si>
    <t>devapimicuenta</t>
  </si>
  <si>
    <t>banco (devapimicuenta/banco)</t>
  </si>
  <si>
    <t>devapinavegacionInnovanet</t>
  </si>
  <si>
    <t>devapionlinerecovery</t>
  </si>
  <si>
    <t>devapipnetvirtual</t>
  </si>
  <si>
    <t>devapiportalesnodejs</t>
  </si>
  <si>
    <t>devapiportalesrimac</t>
  </si>
  <si>
    <t>app,linux</t>
  </si>
  <si>
    <t>devapireportespnet</t>
  </si>
  <si>
    <t>prueba (devapireportespnet/prueba)</t>
  </si>
  <si>
    <t>devapireportespnet2</t>
  </si>
  <si>
    <t>devapiresttosap</t>
  </si>
  <si>
    <t>devapisaptocavali</t>
  </si>
  <si>
    <t>devapisaptocrm</t>
  </si>
  <si>
    <t>devapiseguridad</t>
  </si>
  <si>
    <t>devapisentinel</t>
  </si>
  <si>
    <t>devapisgv</t>
  </si>
  <si>
    <t>devapisicobranzas2</t>
  </si>
  <si>
    <t>devapiSistemaCapacitacion</t>
  </si>
  <si>
    <t>devapisistemamantenimiento</t>
  </si>
  <si>
    <t>devapismdgestionhuellas</t>
  </si>
  <si>
    <t>devapisms</t>
  </si>
  <si>
    <t>Container instances</t>
  </si>
  <si>
    <t>microsoft.containerinstance/containergroups</t>
  </si>
  <si>
    <t>devapisoapcrminmobiliario</t>
  </si>
  <si>
    <t>devapisolped</t>
  </si>
  <si>
    <t>devapivalidaciondatoscontacto</t>
  </si>
  <si>
    <t>devapivia</t>
  </si>
  <si>
    <t>devapiwswalletnode</t>
  </si>
  <si>
    <t>devasignarpromotorvisitaencolada</t>
  </si>
  <si>
    <t>Function App</t>
  </si>
  <si>
    <t>devautoservicio</t>
  </si>
  <si>
    <t>devazurefunction</t>
  </si>
  <si>
    <t>devBD_EMPATIA_21072022 (devlpcrm/devBD_EMPATIA_21072022)</t>
  </si>
  <si>
    <t>devcadenasconexion</t>
  </si>
  <si>
    <t>Key vault</t>
  </si>
  <si>
    <t>microsoft.keyvault/vaults</t>
  </si>
  <si>
    <t>devcorreocompdtesmigrar</t>
  </si>
  <si>
    <t>devcorreocomprobantespdtesmigrar3</t>
  </si>
  <si>
    <t>devcorreoestadocrm</t>
  </si>
  <si>
    <t>devcorreoreporteauditoriacrm</t>
  </si>
  <si>
    <t>devcrmdocumentosviv</t>
  </si>
  <si>
    <t>devcrminmobiliario</t>
  </si>
  <si>
    <t>devcrminmobiliariocalcularleadacumulados</t>
  </si>
  <si>
    <t>devcrminmobiliarioeliminarcliente</t>
  </si>
  <si>
    <t>devcrminmobiliarioppome</t>
  </si>
  <si>
    <t>devcrminmobiliariosegactividades</t>
  </si>
  <si>
    <t>devdownloadbucketamazon</t>
  </si>
  <si>
    <t>devenvioalertareclamos</t>
  </si>
  <si>
    <t>devenviocorreo</t>
  </si>
  <si>
    <t>Service Bus Namespace</t>
  </si>
  <si>
    <t>microsoft.servicebus/namespaces</t>
  </si>
  <si>
    <t>devenviocorreoactividadespro202008121759</t>
  </si>
  <si>
    <t>devenviocorreoactividadesprospeccion</t>
  </si>
  <si>
    <t>devEnvioCorreoAmazon</t>
  </si>
  <si>
    <t>devenviosmsamazon</t>
  </si>
  <si>
    <t>devfunctioncrmuservivienda</t>
  </si>
  <si>
    <t>devfunctionsgv</t>
  </si>
  <si>
    <t>devgeneracioncomprobante</t>
  </si>
  <si>
    <t>devlecturacorreoservicebus</t>
  </si>
  <si>
    <t>devlecturaeventosamazon</t>
  </si>
  <si>
    <t>devlosportales</t>
  </si>
  <si>
    <t>Azure DevOps organization</t>
  </si>
  <si>
    <t>visualstudioonline-5f7ecfd7574a48d0a90777c43631dcb3</t>
  </si>
  <si>
    <t>microsoft.visualstudio/account</t>
  </si>
  <si>
    <t>devmasterdataeliminarcliente</t>
  </si>
  <si>
    <t>devmasterdataenriquecerinformacion</t>
  </si>
  <si>
    <t>devmasterdataenriquecerinformacionmasivo</t>
  </si>
  <si>
    <t>devmasterdataobtenerinformacionenriqueci</t>
  </si>
  <si>
    <t>devmemoriaanual2019</t>
  </si>
  <si>
    <t>devmicuentadebitoautomatico</t>
  </si>
  <si>
    <t>devmicuentareprocesarpagos</t>
  </si>
  <si>
    <t>devmicuentavivienda</t>
  </si>
  <si>
    <t>audit (devmicuentavivienda/audit)</t>
  </si>
  <si>
    <t>devmicuentaviviendareact</t>
  </si>
  <si>
    <t>devmicuentaviviendareactv2</t>
  </si>
  <si>
    <t>audit (devmicuentaviviendareactv2/audit)</t>
  </si>
  <si>
    <t>devmigracionmasterdata</t>
  </si>
  <si>
    <t>devMigrarArchivosdbnet</t>
  </si>
  <si>
    <t>Logic app</t>
  </si>
  <si>
    <t>microsoft.logic/workflows</t>
  </si>
  <si>
    <t>devMigrarArchivosLarcomar</t>
  </si>
  <si>
    <t>devMigrarClienteSentinel</t>
  </si>
  <si>
    <t>devmigrarestacionamientos</t>
  </si>
  <si>
    <t>devmigrarleadsirena</t>
  </si>
  <si>
    <t>devmigrarmasterdata</t>
  </si>
  <si>
    <t>devMtoMantenimientoEnvioCorreo</t>
  </si>
  <si>
    <t>devNotificaActMasterData</t>
  </si>
  <si>
    <t>devNotificaActMasterData202205110507</t>
  </si>
  <si>
    <t>devNotificacionesEmpatia</t>
  </si>
  <si>
    <t>devnotificacionvacaciones</t>
  </si>
  <si>
    <t>devpanellicitaciones</t>
  </si>
  <si>
    <t>devplanlinux</t>
  </si>
  <si>
    <t>linux</t>
  </si>
  <si>
    <t>devpruebanotificaciones</t>
  </si>
  <si>
    <t>devseguridadcolaboradorsync</t>
  </si>
  <si>
    <t>devServControladorCrmViv</t>
  </si>
  <si>
    <t>tidev (devservcontroladorcrmviv/tidev)</t>
  </si>
  <si>
    <t>devservcrminmobiliariobackendviv</t>
  </si>
  <si>
    <t>externo (devservcrminmobiliariobackendviv/externo)</t>
  </si>
  <si>
    <t>sgv (devservcrminmobiliariobackendviv/sgv)</t>
  </si>
  <si>
    <t>tidev (devservcrminmobiliariobackendviv/tidev)</t>
  </si>
  <si>
    <t>viviendasocial (devservcrminmobiliariobackendviv/viviendasocial)</t>
  </si>
  <si>
    <t>devservenviocorreoporamazon</t>
  </si>
  <si>
    <t>devservenviocorreoscentralizado</t>
  </si>
  <si>
    <t>devservintegradorcrmsapviv</t>
  </si>
  <si>
    <t>interno (devservintegradorcrmsapviv/interno)</t>
  </si>
  <si>
    <t>releaseVB (devservintegradorcrmsapviv/releaseVB)</t>
  </si>
  <si>
    <t>devsicomigracionesta</t>
  </si>
  <si>
    <t>devsicomigracionestac</t>
  </si>
  <si>
    <t>devsicomigracionestacion</t>
  </si>
  <si>
    <t>devsicomigrarvivienda</t>
  </si>
  <si>
    <t>devsincronizarexpedientedigital</t>
  </si>
  <si>
    <t>devsincronizaronpremtosico</t>
  </si>
  <si>
    <t>devsmdgestionhuellas</t>
  </si>
  <si>
    <t>devsoapblobstorage</t>
  </si>
  <si>
    <t>devsoapcrmtosap</t>
  </si>
  <si>
    <t>devsrvbotsap-astvnz4wuayjtdu</t>
  </si>
  <si>
    <t>Search service</t>
  </si>
  <si>
    <t>microsoft.search/searchservices</t>
  </si>
  <si>
    <t>devsrvbotsap-bot</t>
  </si>
  <si>
    <t>Web App Bot</t>
  </si>
  <si>
    <t>Global</t>
  </si>
  <si>
    <t>microsoft.botservice/botservices</t>
  </si>
  <si>
    <t>sdk</t>
  </si>
  <si>
    <t>devwebautoservicio</t>
  </si>
  <si>
    <t>devwebclienteincognito</t>
  </si>
  <si>
    <t>devwebcrminmobiliarioviv</t>
  </si>
  <si>
    <t>externo (devwebcrminmobiliarioviv/externo)</t>
  </si>
  <si>
    <t>qa (devwebcrminmobiliarioviv/qa)</t>
  </si>
  <si>
    <t>sgv (devwebcrminmobiliarioviv/sgv)</t>
  </si>
  <si>
    <t>viviendasocial (devwebcrminmobiliarioviv/viviendasocial)</t>
  </si>
  <si>
    <t>devwebcrminmobiliarioviv2</t>
  </si>
  <si>
    <t>devwebcuponessocio</t>
  </si>
  <si>
    <t>devwebecommercev2</t>
  </si>
  <si>
    <t>devwebempatia</t>
  </si>
  <si>
    <t>devwebencuestadocumentoscrm</t>
  </si>
  <si>
    <t>devwebestacionamiento</t>
  </si>
  <si>
    <t>devwebgestiondocumentoscrm</t>
  </si>
  <si>
    <t>devwebhotelcountry</t>
  </si>
  <si>
    <t>devwebhotellosportales</t>
  </si>
  <si>
    <t>devwebinnovanet</t>
  </si>
  <si>
    <t>devweblibroreclamacionesviv</t>
  </si>
  <si>
    <t>audit (devweblibroreclamacionesviv/audit)</t>
  </si>
  <si>
    <t>devweblibroreclamosvirtual</t>
  </si>
  <si>
    <t>devwebmarcacion</t>
  </si>
  <si>
    <t>devwebmasterdata</t>
  </si>
  <si>
    <t>devwebnewsletterMF</t>
  </si>
  <si>
    <t>devwebpnetvirtual</t>
  </si>
  <si>
    <t>devwebreportespnet</t>
  </si>
  <si>
    <t>devwebseguridad</t>
  </si>
  <si>
    <t>devwebsicobranzas2</t>
  </si>
  <si>
    <t>devwebsicobranzas2-encargo</t>
  </si>
  <si>
    <t>devwebSistemaCapacitacion</t>
  </si>
  <si>
    <t>devwebsistemamantenimiento</t>
  </si>
  <si>
    <t>devwebuploadfiles</t>
  </si>
  <si>
    <t>devwebvalidadorarchivosplayas</t>
  </si>
  <si>
    <t>devwebvia</t>
  </si>
  <si>
    <t>admin (devwebvia/admin)</t>
  </si>
  <si>
    <t>devwsconsultabuzonproveedor</t>
  </si>
  <si>
    <t>EastUSPlan</t>
  </si>
  <si>
    <t>Estacionamientos-2</t>
  </si>
  <si>
    <t>apparka</t>
  </si>
  <si>
    <t>estacionamientosdisks279</t>
  </si>
  <si>
    <t>estacionamientoslp (estacionamientoslp/estacionamientoslp)</t>
  </si>
  <si>
    <t>estandaresdesarrollo</t>
  </si>
  <si>
    <t>expresslp</t>
  </si>
  <si>
    <t>ExpressRoute circuit</t>
  </si>
  <si>
    <t>microsoft.network/expressroutecircuits</t>
  </si>
  <si>
    <t>fotosinnovanet</t>
  </si>
  <si>
    <t>innovanet</t>
  </si>
  <si>
    <t>FuncConfirmacionEnvioMasterDataV220220510101254</t>
  </si>
  <si>
    <t>Virtual network gateway</t>
  </si>
  <si>
    <t>microsoft.network/virtualnetworkgateways</t>
  </si>
  <si>
    <t>Gateway-local</t>
  </si>
  <si>
    <t>Local network gateway</t>
  </si>
  <si>
    <t>microsoft.network/localnetworkgateways</t>
  </si>
  <si>
    <t>GR-LosPortales-vnet</t>
  </si>
  <si>
    <t>grlosportalesdiag335</t>
  </si>
  <si>
    <t>GSeguridadDesarrollo</t>
  </si>
  <si>
    <t>Network security group</t>
  </si>
  <si>
    <t>microsoft.network/networksecuritygroups</t>
  </si>
  <si>
    <t>GW-RedLocal</t>
  </si>
  <si>
    <t>microsoft.network/publicipaddresses</t>
  </si>
  <si>
    <t>GWLocalLarcomar</t>
  </si>
  <si>
    <t>hoteleslp</t>
  </si>
  <si>
    <t>keyVAnalytics</t>
  </si>
  <si>
    <t>KeyVLPEstacionamiento</t>
  </si>
  <si>
    <t>LogicAppsManagement(logsanalytics-lp)</t>
  </si>
  <si>
    <t>logsanalytics-lp</t>
  </si>
  <si>
    <t>losportalesdev (losportalesdev/losportalesdev)</t>
  </si>
  <si>
    <t>lp-Autoservcio</t>
  </si>
  <si>
    <t>autoservicio</t>
  </si>
  <si>
    <t>LPCentral</t>
  </si>
  <si>
    <t>gr-webproveedores</t>
  </si>
  <si>
    <t>LPEstacionamientos-Automation</t>
  </si>
  <si>
    <t>LPLARCOMAR01</t>
  </si>
  <si>
    <t>microsoft.compute/virtualmachines</t>
  </si>
  <si>
    <t>Network Interface</t>
  </si>
  <si>
    <t>microsoft.network/networkinterfaces</t>
  </si>
  <si>
    <t>Regular</t>
  </si>
  <si>
    <t>LPWAWS001</t>
  </si>
  <si>
    <t>lpwebproveedores</t>
  </si>
  <si>
    <t>mcprocesoslp</t>
  </si>
  <si>
    <t>micuentabackup</t>
  </si>
  <si>
    <t>central-capacitacion</t>
  </si>
  <si>
    <t>Micuentabk</t>
  </si>
  <si>
    <t>MigrarArchivosdbnet</t>
  </si>
  <si>
    <t>MigrarArchivosLarcomar</t>
  </si>
  <si>
    <t>Monitor_AzureFunction</t>
  </si>
  <si>
    <t>multifamiliar</t>
  </si>
  <si>
    <t>web-multifamiliar</t>
  </si>
  <si>
    <t>NetworkWatcher_centralus</t>
  </si>
  <si>
    <t>Network Watcher</t>
  </si>
  <si>
    <t>networkwatcherrg</t>
  </si>
  <si>
    <t>microsoft.network/networkwatchers</t>
  </si>
  <si>
    <t>NetworkWatcher_eastus</t>
  </si>
  <si>
    <t>planprdapimensajetexto</t>
  </si>
  <si>
    <t>gr-planenamoramientovivienda</t>
  </si>
  <si>
    <t>PlanS1MiCuentareact</t>
  </si>
  <si>
    <t>PlanS1VPN</t>
  </si>
  <si>
    <t>prd-apibetito</t>
  </si>
  <si>
    <t>prd-betito</t>
  </si>
  <si>
    <t>prdadminvia</t>
  </si>
  <si>
    <t>un-hoteles</t>
  </si>
  <si>
    <t>prdapi-lp</t>
  </si>
  <si>
    <t>prdapiacortaruri</t>
  </si>
  <si>
    <t>prdapiautoserviciocolaborador</t>
  </si>
  <si>
    <t>prdapiazuretable</t>
  </si>
  <si>
    <t>prdapiblobstorage</t>
  </si>
  <si>
    <t>prdapiclienteincognito</t>
  </si>
  <si>
    <t>prdapicocovi</t>
  </si>
  <si>
    <t>prdapicrminmobiliario</t>
  </si>
  <si>
    <t>prdapidatamartClientes</t>
  </si>
  <si>
    <t>prdapiempatia</t>
  </si>
  <si>
    <t>prdapigestiondocumentos</t>
  </si>
  <si>
    <t>prdapigraph</t>
  </si>
  <si>
    <t>prdapilibroreclamosvirtual</t>
  </si>
  <si>
    <t>prdapilpsgv</t>
  </si>
  <si>
    <t>sistema_visitas</t>
  </si>
  <si>
    <t>prdapimasterdata</t>
  </si>
  <si>
    <t>paralelo (prdapimasterdata/paralelo)</t>
  </si>
  <si>
    <t>slotIcom (prdapimasterdata/slotIcom)</t>
  </si>
  <si>
    <t>prdapimasterdatamigracion</t>
  </si>
  <si>
    <t>prdapimasterdatamigracionsap</t>
  </si>
  <si>
    <t>prdapimembresiassocioscountryclub</t>
  </si>
  <si>
    <t>prdapimensajetexto</t>
  </si>
  <si>
    <t>prdapimicuenta</t>
  </si>
  <si>
    <t>prdapinavegacionInnovanet</t>
  </si>
  <si>
    <t>prdapionlinerecovery</t>
  </si>
  <si>
    <t>prdapipnet</t>
  </si>
  <si>
    <t>prdapipnetvirtual</t>
  </si>
  <si>
    <t>prdapiportalesrimac</t>
  </si>
  <si>
    <t>proyectorimacestacionamientos</t>
  </si>
  <si>
    <t>prdapireportespnet</t>
  </si>
  <si>
    <t>prdapiresttosap</t>
  </si>
  <si>
    <t>prdapisaptocavali</t>
  </si>
  <si>
    <t>prdapisaptocrm</t>
  </si>
  <si>
    <t>prdapiscompartidos</t>
  </si>
  <si>
    <t>prdapiseguridad</t>
  </si>
  <si>
    <t>prdapisentinel</t>
  </si>
  <si>
    <t>prdapisicobranzas</t>
  </si>
  <si>
    <t>preproduccion (prdapisicobranzas/preproduccion)</t>
  </si>
  <si>
    <t>prdapisistemacapacitacion</t>
  </si>
  <si>
    <t>prdapismdgestionhuellas</t>
  </si>
  <si>
    <t>prdapisms</t>
  </si>
  <si>
    <t>prdapismsamazonv2</t>
  </si>
  <si>
    <t>prdapisoapcrminmobiliario</t>
  </si>
  <si>
    <t>prdapivalidaciondatoscontacto</t>
  </si>
  <si>
    <t>prdapivia</t>
  </si>
  <si>
    <t>prdasignarpromotorvisitaencolada</t>
  </si>
  <si>
    <t>prdcadenasconexion</t>
  </si>
  <si>
    <t>prdcontainersms</t>
  </si>
  <si>
    <t>prdcorreocomprobantespdtesmigrar</t>
  </si>
  <si>
    <t>prdcorreoestadocrm</t>
  </si>
  <si>
    <t>prdcorreoreporteauditoriacrm</t>
  </si>
  <si>
    <t>prdcrminmobiliario</t>
  </si>
  <si>
    <t>prdcrminmobiliariocalcularleadacumulados</t>
  </si>
  <si>
    <t>prdcrminmobiliarioppome</t>
  </si>
  <si>
    <t>prdcrminmobiliariosegactividades</t>
  </si>
  <si>
    <t>prdcrmuservivienda</t>
  </si>
  <si>
    <t>prdenvioalertareclamos</t>
  </si>
  <si>
    <t>prdenviocorreoactividadesprospeccion</t>
  </si>
  <si>
    <t>prdEnvioCorreoAmazon</t>
  </si>
  <si>
    <t>prdest.lecturacamarasLPR</t>
  </si>
  <si>
    <t>prdfunctionsgv</t>
  </si>
  <si>
    <t>prdGatewayLP</t>
  </si>
  <si>
    <t>On-premises data gateway</t>
  </si>
  <si>
    <t>microsoft.web/connectiongateways</t>
  </si>
  <si>
    <t>prdlecturacorreoservicebus</t>
  </si>
  <si>
    <t>prdlecturaeventosamazon</t>
  </si>
  <si>
    <t>prdmasterdataeliminarcliente</t>
  </si>
  <si>
    <t>prdmasterdataenriquecerinformacion</t>
  </si>
  <si>
    <t>prdmasterdataenriquecerinformacionmasivo</t>
  </si>
  <si>
    <t>prdmemoriaanual2019</t>
  </si>
  <si>
    <t>prdmemoriaanual2020</t>
  </si>
  <si>
    <t>prdmemoriaanual2021</t>
  </si>
  <si>
    <t>prdmicuentadebitoautomatico</t>
  </si>
  <si>
    <t>prdmicuentareprocesarpagos</t>
  </si>
  <si>
    <t>prdmicuentavivienda</t>
  </si>
  <si>
    <t>prdmigracionmasterdata</t>
  </si>
  <si>
    <t>prdMigrarClienteSentinel</t>
  </si>
  <si>
    <t>prdmigrarleadsirena</t>
  </si>
  <si>
    <t>prdmtomantenimientoenviocorreo</t>
  </si>
  <si>
    <t>prdNotificaActMasterData</t>
  </si>
  <si>
    <t>prdnotificacionesempatia</t>
  </si>
  <si>
    <t>prdnotificacionvacaciones</t>
  </si>
  <si>
    <t>prdseguridadcolaboradorsync</t>
  </si>
  <si>
    <t>prdServControladorCrmViv</t>
  </si>
  <si>
    <t>prdservenviocorreoporamazon</t>
  </si>
  <si>
    <t>prdservenviocorreoscentralizado</t>
  </si>
  <si>
    <t>prdservicebuscentral</t>
  </si>
  <si>
    <t>prdServIntegradorSAPCrmViv</t>
  </si>
  <si>
    <t>prdsicomigrarestacionamientos</t>
  </si>
  <si>
    <t>prdsicomigrarvivienda</t>
  </si>
  <si>
    <t>prdsincronizarexpedientedigital</t>
  </si>
  <si>
    <t>prdsoapblobstorage</t>
  </si>
  <si>
    <t>prdsoapcrmtosap</t>
  </si>
  <si>
    <t>prdssasserver</t>
  </si>
  <si>
    <t>Analysis Services</t>
  </si>
  <si>
    <t>microsoft.analysisservices/servers</t>
  </si>
  <si>
    <t>prdssasserverune</t>
  </si>
  <si>
    <t>prdwebclienteincognito</t>
  </si>
  <si>
    <t>prdwebcorporativaphp</t>
  </si>
  <si>
    <t>app,linux,container</t>
  </si>
  <si>
    <t>prdWebCrmViv</t>
  </si>
  <si>
    <t>prdWebCrmViv2</t>
  </si>
  <si>
    <t>prdwebempatia</t>
  </si>
  <si>
    <t>prdwebempatia-sin-mails (prdwebempatia/prdwebempatia-sin-mails)</t>
  </si>
  <si>
    <t>prdwebencuestadocumentoscrm</t>
  </si>
  <si>
    <t>prdwebestacionamientos</t>
  </si>
  <si>
    <t>prdwebgestiondocumentoscrm</t>
  </si>
  <si>
    <t>prdwebhotelcountry</t>
  </si>
  <si>
    <t>prdwebhotellosportales</t>
  </si>
  <si>
    <t>prdwebinnovanet</t>
  </si>
  <si>
    <t>prdweblibroreclamacionesviv</t>
  </si>
  <si>
    <t>prdweblibroreclamosvirtual</t>
  </si>
  <si>
    <t>prdweblicitaciones</t>
  </si>
  <si>
    <t>prdwebmasterdata</t>
  </si>
  <si>
    <t>paralelo (prdwebmasterdata/paralelo)</t>
  </si>
  <si>
    <t>paralelo2 (prdwebmasterdata/paralelo2)</t>
  </si>
  <si>
    <t>slotIcom (prdwebmasterdata/slotIcom)</t>
  </si>
  <si>
    <t>prdwebmembresiassocioscountryclub</t>
  </si>
  <si>
    <t>prdwebpnetvirtual</t>
  </si>
  <si>
    <t>prdwebreportespnet</t>
  </si>
  <si>
    <t>prdwebseguridadcentral</t>
  </si>
  <si>
    <t>prdwebsicobranzas</t>
  </si>
  <si>
    <t>preproduccion (prdwebsicobranzas/preproduccion)</t>
  </si>
  <si>
    <t>prdwebsistemacapacitacion</t>
  </si>
  <si>
    <t>prdwebuploadfiles</t>
  </si>
  <si>
    <t>prdwebvalidadorarchivosplayas</t>
  </si>
  <si>
    <t>prdwebvia</t>
  </si>
  <si>
    <t>qaapisicobranzas</t>
  </si>
  <si>
    <t>qasmicuentavivienda</t>
  </si>
  <si>
    <t>qas (qasmicuentavivienda/qas)</t>
  </si>
  <si>
    <t>qawebempatia</t>
  </si>
  <si>
    <t>qawebsicobranzas</t>
  </si>
  <si>
    <t>RefreshModeloTabular (LPEstacionamientos-Automation/RefreshModeloTabular)</t>
  </si>
  <si>
    <t>resumenanual</t>
  </si>
  <si>
    <t>RV-Desarrollo</t>
  </si>
  <si>
    <t>s1plansistemacapacitacion</t>
  </si>
  <si>
    <t>sbusarchivosplayas</t>
  </si>
  <si>
    <t>SecurityCenterFree(DefaultWorkspace-44a2cf06-9ce3-460b-8a4a-89fcdf3d06da-EUS)</t>
  </si>
  <si>
    <t>sistemacapacitacion</t>
  </si>
  <si>
    <t>sqlvagv27rh4xalhpc</t>
  </si>
  <si>
    <t>sqlvarx2qnroxbsqfc</t>
  </si>
  <si>
    <t>srvlanenamoramiento</t>
  </si>
  <si>
    <t>storageaccountambie8273</t>
  </si>
  <si>
    <t>storageaccountambie8709</t>
  </si>
  <si>
    <t>storageaccountambie88f7</t>
  </si>
  <si>
    <t>storageaccountambie8eeb</t>
  </si>
  <si>
    <t>storageaccountambie929c</t>
  </si>
  <si>
    <t>storageaccountambie941f</t>
  </si>
  <si>
    <t>storageaccountambie95e9</t>
  </si>
  <si>
    <t>storageaccountambie9919</t>
  </si>
  <si>
    <t>storageaccountambie9dd4</t>
  </si>
  <si>
    <t>storageaccountambiea213</t>
  </si>
  <si>
    <t>storageaccountambiea5a8</t>
  </si>
  <si>
    <t>storageaccountambieb124</t>
  </si>
  <si>
    <t>storageaccountambieb473</t>
  </si>
  <si>
    <t>storageaccountambieb56a</t>
  </si>
  <si>
    <t>storageaccountcesis9e86</t>
  </si>
  <si>
    <t>storageaccountcesisb959</t>
  </si>
  <si>
    <t>storageaccountcrmin857d</t>
  </si>
  <si>
    <t>storageaccountcrmina3ba</t>
  </si>
  <si>
    <t>storageaccountcrmina84e</t>
  </si>
  <si>
    <t>storageaccountrecur89aa</t>
  </si>
  <si>
    <t>storageanalytics</t>
  </si>
  <si>
    <t>storageazurefunctionslp</t>
  </si>
  <si>
    <t>storagecdnvivienda</t>
  </si>
  <si>
    <t>storagemultifactor</t>
  </si>
  <si>
    <t>SynapseOFF (analytics-automation/SynapseOFF)</t>
  </si>
  <si>
    <t>SynapseON (analytics-automation/SynapseON)</t>
  </si>
  <si>
    <t>synapseworkspaceinmobiliario</t>
  </si>
  <si>
    <t>Synapse workspace</t>
  </si>
  <si>
    <t>microsoft.synapse/workspaces</t>
  </si>
  <si>
    <t>toexpressroute</t>
  </si>
  <si>
    <t>UNEstacionamientos</t>
  </si>
  <si>
    <t>videosvivienda</t>
  </si>
  <si>
    <t>grabaciones-vivienda</t>
  </si>
  <si>
    <t>VMKafka-nsg</t>
  </si>
  <si>
    <t>Disk</t>
  </si>
  <si>
    <t>microsoft.compute/disks</t>
  </si>
  <si>
    <t>Application gateway</t>
  </si>
  <si>
    <t>microsoft.network/applicationgateways</t>
  </si>
  <si>
    <t>webHoteles</t>
  </si>
  <si>
    <t>WebVivienda</t>
  </si>
  <si>
    <t>Available</t>
  </si>
  <si>
    <t>TYPE2</t>
  </si>
  <si>
    <t>APP SERVICE PLAN</t>
  </si>
  <si>
    <t>APP TYPE</t>
  </si>
  <si>
    <t>Running</t>
  </si>
  <si>
    <t>Dynamic</t>
  </si>
  <si>
    <t>Stopped</t>
  </si>
  <si>
    <t>Premium V2</t>
  </si>
  <si>
    <t>AmbienteDesarrollo</t>
  </si>
  <si>
    <t>serverfarms</t>
  </si>
  <si>
    <t>Autoservicio</t>
  </si>
  <si>
    <t>WEB-Vivienda</t>
  </si>
  <si>
    <t>CRM-Inmobiliaria</t>
  </si>
  <si>
    <t>UN-Estacionamientos</t>
  </si>
  <si>
    <t>GR-PlanEnamoramientoVivienda</t>
  </si>
  <si>
    <t>Recursos-Central</t>
  </si>
  <si>
    <t>GR-WebProveedores</t>
  </si>
  <si>
    <t>CE_Sistema_Cobranzas</t>
  </si>
  <si>
    <t>Web App</t>
  </si>
  <si>
    <t>Free</t>
  </si>
  <si>
    <t>AmbienteDesarrolloLinux</t>
  </si>
  <si>
    <t>APPARKA</t>
  </si>
  <si>
    <t>ProduccionDevOps</t>
  </si>
  <si>
    <t>Central-Capacitacion</t>
  </si>
  <si>
    <t>ProyectoRimacEstacionamientos</t>
  </si>
  <si>
    <t>Web-Multifamiliar</t>
  </si>
  <si>
    <t>UN-Hoteles</t>
  </si>
  <si>
    <t>APP SERVICE PLAN6</t>
  </si>
  <si>
    <t>APP SERVICE PLAN9</t>
  </si>
  <si>
    <t>APP SERVICE PLAN10</t>
  </si>
  <si>
    <t>OPERATING SYSTEM</t>
  </si>
  <si>
    <t>SIZE</t>
  </si>
  <si>
    <t>PUBLIC IP ADDRESS</t>
  </si>
  <si>
    <t>DISKS</t>
  </si>
  <si>
    <t>Windows</t>
  </si>
  <si>
    <t>Linux</t>
  </si>
  <si>
    <t>SERVER NAME</t>
  </si>
  <si>
    <t>TIER</t>
  </si>
  <si>
    <t>S0</t>
  </si>
  <si>
    <t>asazure://eastus.asazure.windows.net/prdssasserver</t>
  </si>
  <si>
    <t>Succeeded</t>
  </si>
  <si>
    <t>B1</t>
  </si>
  <si>
    <t>asazure://eastus.asazure.windows.net/prdssasserverune</t>
  </si>
  <si>
    <t>CPU MAX</t>
  </si>
  <si>
    <t>CPU AVG</t>
  </si>
  <si>
    <t>RAM MAX</t>
  </si>
  <si>
    <t>RAM AVG</t>
  </si>
  <si>
    <t>Standard_DS2_v2 (2 vcpus, 7 GiB memory IOPS 6400)</t>
  </si>
  <si>
    <t>Standard B2ms (2 vcpus, 8 GiB memory IOPS 1920)</t>
  </si>
  <si>
    <t>Standard_A4_v2 (4 vcpus, 8 GiB memory IOPS 8x500)</t>
  </si>
  <si>
    <t>Basic 1 vCore(s), 5 GB</t>
  </si>
  <si>
    <t>Performance</t>
  </si>
  <si>
    <t>Basic 1 vCore(s), 45 GB</t>
  </si>
  <si>
    <t>PVP Aprox Mensual</t>
  </si>
  <si>
    <t>PVP IR Aprox</t>
  </si>
  <si>
    <t>HDD PVP</t>
  </si>
  <si>
    <t>IR Aprox Mensual</t>
  </si>
  <si>
    <t>Plantilla Propuesta</t>
  </si>
  <si>
    <t>Standard_D2ads_v5 (2 vcpus, 8 GiB memory IOPS 3750)</t>
  </si>
  <si>
    <t>PVP Aprox Mensual2</t>
  </si>
  <si>
    <t>Standard F4s_v2 (4 vcpus, 8 GiB memory IOPS 6400)</t>
  </si>
  <si>
    <t>Standard B2s (2 vcpus, 4 GiB memory IOPS 1280)</t>
  </si>
  <si>
    <t>Detalle de Recursos</t>
  </si>
  <si>
    <t>VMs Optimización</t>
  </si>
  <si>
    <t>Ip públicas</t>
  </si>
  <si>
    <t>Discos</t>
  </si>
  <si>
    <t>Escenario 1</t>
  </si>
  <si>
    <t>Compra de IR</t>
  </si>
  <si>
    <t xml:space="preserve">Eliminación </t>
  </si>
  <si>
    <t>Cambio de disco a HDD</t>
  </si>
  <si>
    <t>Cambio de plantilla</t>
  </si>
  <si>
    <t>Escenario 2</t>
  </si>
  <si>
    <t>Escenario 3</t>
  </si>
  <si>
    <t>Cambio de plantilla + 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</si>
</sst>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$&quot;* #,##0.00_ ;_ &quot;$&quot;* \-#,##0.00_ ;_ &quot;$&quot;* &quot;-&quot;??_ ;_ @_ "/>
    <numFmt numFmtId="168" formatCode="0.0%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Segoe UI"/>
      <family val="2"/>
    </font>
    <font>
      <b/>
      <sz val="8"/>
      <color theme="0"/>
      <name val="Segoe UI"/>
      <family val="2"/>
    </font>
    <font>
      <sz val="8"/>
      <name val="Calibri"/>
      <family val="2"/>
      <scheme val="minor"/>
    </font>
    <font>
      <sz val="8"/>
      <color rgb="FFFF0000"/>
      <name val="Segoe UI"/>
      <family val="2"/>
    </font>
    <font>
      <b/>
      <sz val="8"/>
      <color theme="1"/>
      <name val="Segoe UI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double">
        <color theme="9"/>
      </top>
      <bottom style="thin">
        <color theme="9" tint="0.3999755851924192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8">
    <xf numFmtId="0" fontId="0" fillId="0" borderId="0" xfId="0"/>
    <xf numFmtId="0" fontId="18" fillId="0" borderId="0" xfId="0" applyFont="1"/>
    <xf numFmtId="0" fontId="21" fillId="0" borderId="0" xfId="0" applyFont="1"/>
    <xf numFmtId="0" fontId="18" fillId="0" borderId="0" xfId="0" applyFont="1" applyAlignment="1">
      <alignment horizontal="center" vertical="center"/>
    </xf>
    <xf numFmtId="0" fontId="19" fillId="33" borderId="10" xfId="0" applyFont="1" applyFill="1" applyBorder="1"/>
    <xf numFmtId="44" fontId="18" fillId="0" borderId="0" xfId="1" applyFont="1"/>
    <xf numFmtId="0" fontId="18" fillId="0" borderId="0" xfId="0" applyFont="1" applyAlignment="1">
      <alignment wrapText="1"/>
    </xf>
    <xf numFmtId="44" fontId="18" fillId="35" borderId="0" xfId="1" applyFont="1" applyFill="1"/>
    <xf numFmtId="0" fontId="0" fillId="0" borderId="0" xfId="0" applyAlignment="1">
      <alignment horizontal="center" vertical="center"/>
    </xf>
    <xf numFmtId="9" fontId="18" fillId="0" borderId="0" xfId="0" applyNumberFormat="1" applyFont="1"/>
    <xf numFmtId="44" fontId="18" fillId="0" borderId="10" xfId="1" applyNumberFormat="1" applyFont="1" applyBorder="1"/>
    <xf numFmtId="44" fontId="22" fillId="0" borderId="11" xfId="1" applyNumberFormat="1" applyFont="1" applyBorder="1"/>
    <xf numFmtId="10" fontId="0" fillId="0" borderId="0" xfId="2" applyNumberFormat="1" applyFont="1"/>
    <xf numFmtId="44" fontId="0" fillId="0" borderId="0" xfId="0" applyNumberFormat="1"/>
    <xf numFmtId="10" fontId="18" fillId="0" borderId="0" xfId="0" applyNumberFormat="1" applyFont="1"/>
    <xf numFmtId="44" fontId="18" fillId="34" borderId="10" xfId="1" applyNumberFormat="1" applyFont="1" applyFill="1" applyBorder="1"/>
    <xf numFmtId="168" fontId="18" fillId="0" borderId="0" xfId="0" applyNumberFormat="1" applyFont="1"/>
    <xf numFmtId="44" fontId="0" fillId="35" borderId="0" xfId="0" applyNumberFormat="1" applyFill="1"/>
    <xf numFmtId="0" fontId="0" fillId="0" borderId="0" xfId="0"/>
    <xf numFmtId="9" fontId="0" fillId="35" borderId="0" xfId="2" applyFont="1" applyFill="1"/>
    <xf numFmtId="44" fontId="18" fillId="35" borderId="0" xfId="0" applyNumberFormat="1" applyFont="1" applyFill="1"/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/>
    <xf numFmtId="0" fontId="0" fillId="0" borderId="15" xfId="0" applyBorder="1"/>
    <xf numFmtId="44" fontId="0" fillId="0" borderId="15" xfId="1" applyFont="1" applyBorder="1"/>
    <xf numFmtId="0" fontId="0" fillId="0" borderId="16" xfId="0" applyBorder="1"/>
    <xf numFmtId="44" fontId="0" fillId="0" borderId="17" xfId="1" applyFont="1" applyBorder="1"/>
  </cellXfs>
  <cellStyles count="44">
    <cellStyle name="20% - Énfasis1" xfId="21" builtinId="30" customBuiltin="1"/>
    <cellStyle name="20% - Énfasis2" xfId="25" builtinId="34" customBuiltin="1"/>
    <cellStyle name="20% - Énfasis3" xfId="29" builtinId="38" customBuiltin="1"/>
    <cellStyle name="20% - Énfasis4" xfId="33" builtinId="42" customBuiltin="1"/>
    <cellStyle name="20% - Énfasis5" xfId="37" builtinId="46" customBuiltin="1"/>
    <cellStyle name="20% - Énfasis6" xfId="41" builtinId="50" customBuiltin="1"/>
    <cellStyle name="40% - Énfasis1" xfId="22" builtinId="31" customBuiltin="1"/>
    <cellStyle name="40% - Énfasis2" xfId="26" builtinId="35" customBuiltin="1"/>
    <cellStyle name="40% - Énfasis3" xfId="30" builtinId="39" customBuiltin="1"/>
    <cellStyle name="40% - Énfasis4" xfId="34" builtinId="43" customBuiltin="1"/>
    <cellStyle name="40% - Énfasis5" xfId="38" builtinId="47" customBuiltin="1"/>
    <cellStyle name="40% - Énfasis6" xfId="42" builtinId="51" customBuiltin="1"/>
    <cellStyle name="60% - Énfasis1" xfId="23" builtinId="32" customBuiltin="1"/>
    <cellStyle name="60% - Énfasis2" xfId="27" builtinId="36" customBuiltin="1"/>
    <cellStyle name="60% - Énfasis3" xfId="31" builtinId="40" customBuiltin="1"/>
    <cellStyle name="60% - Énfasis4" xfId="35" builtinId="44" customBuiltin="1"/>
    <cellStyle name="60% - Énfasis5" xfId="39" builtinId="48" customBuiltin="1"/>
    <cellStyle name="60% - Énfasis6" xfId="43" builtinId="52" customBuiltin="1"/>
    <cellStyle name="Bueno" xfId="8" builtinId="26" customBuiltin="1"/>
    <cellStyle name="Cálculo" xfId="13" builtinId="22" customBuiltin="1"/>
    <cellStyle name="Celda de comprobación" xfId="15" builtinId="23" customBuiltin="1"/>
    <cellStyle name="Celda vinculada" xfId="14" builtinId="24" customBuiltin="1"/>
    <cellStyle name="Encabezado 1" xfId="4" builtinId="16" customBuiltin="1"/>
    <cellStyle name="Encabezado 4" xfId="7" builtinId="19" customBuiltin="1"/>
    <cellStyle name="Énfasis1" xfId="20" builtinId="29" customBuiltin="1"/>
    <cellStyle name="Énfasis2" xfId="24" builtinId="33" customBuiltin="1"/>
    <cellStyle name="Énfasis3" xfId="28" builtinId="37" customBuiltin="1"/>
    <cellStyle name="Énfasis4" xfId="32" builtinId="41" customBuiltin="1"/>
    <cellStyle name="Énfasis5" xfId="36" builtinId="45" customBuiltin="1"/>
    <cellStyle name="Énfasis6" xfId="40" builtinId="49" customBuiltin="1"/>
    <cellStyle name="Entrada" xfId="11" builtinId="20" customBuiltin="1"/>
    <cellStyle name="Incorrecto" xfId="9" builtinId="27" customBuiltin="1"/>
    <cellStyle name="Moneda" xfId="1" builtinId="4"/>
    <cellStyle name="Neutral" xfId="10" builtinId="28" customBuiltin="1"/>
    <cellStyle name="Normal" xfId="0" builtinId="0"/>
    <cellStyle name="Notas" xfId="17" builtinId="10" customBuiltin="1"/>
    <cellStyle name="Porcentaje" xfId="2" builtinId="5"/>
    <cellStyle name="Salida" xfId="12" builtinId="21" customBuiltin="1"/>
    <cellStyle name="Texto de advertencia" xfId="16" builtinId="11" customBuiltin="1"/>
    <cellStyle name="Texto explicativo" xfId="18" builtinId="53" customBuiltin="1"/>
    <cellStyle name="Título" xfId="3" builtinId="15" customBuiltin="1"/>
    <cellStyle name="Título 2" xfId="5" builtinId="17" customBuiltin="1"/>
    <cellStyle name="Título 3" xfId="6" builtinId="18" customBuiltin="1"/>
    <cellStyle name="Total" xfId="19" builtinId="25" customBuiltin="1"/>
  </cellStyles>
  <dxfs count="167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34" formatCode="_ &quot;$&quot;* #,##0.00_ ;_ &quot;$&quot;* \-#,##0.00_ ;_ &quot;$&quot;* &quot;-&quot;??_ ;_ @_ "/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34" formatCode="_ &quot;$&quot;* #,##0.00_ ;_ &quot;$&quot;* \-#,##0.00_ ;_ &quot;$&quot;* &quot;-&quot;??_ ;_ @_ "/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34" formatCode="_ &quot;$&quot;* #,##0.00_ ;_ &quot;$&quot;* \-#,##0.00_ ;_ &quot;$&quot;* &quot;-&quot;??_ ;_ @_ "/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34" formatCode="_ &quot;$&quot;* #,##0.00_ ;_ &quot;$&quot;* \-#,##0.00_ ;_ &quot;$&quot;* &quot;-&quot;??_ ;_ @_ "/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B9B548-2470-4869-B45F-5EFA976E3816}" name="Tabla1" displayName="Tabla1" ref="A1:H30" totalsRowShown="0" headerRowDxfId="157" dataDxfId="158">
  <autoFilter ref="A1:H30" xr:uid="{56B9B548-2470-4869-B45F-5EFA976E3816}"/>
  <sortState xmlns:xlrd2="http://schemas.microsoft.com/office/spreadsheetml/2017/richdata2" ref="A2:H30">
    <sortCondition ref="D1:D30"/>
  </sortState>
  <tableColumns count="8">
    <tableColumn id="1" xr3:uid="{1F073D7F-BAB1-4506-A474-51F09583B9C1}" name="NAME" dataDxfId="166"/>
    <tableColumn id="2" xr3:uid="{6E6ABE31-D869-4B34-AB10-CA5369695C67}" name="DISPLAY NAME" dataDxfId="165"/>
    <tableColumn id="3" xr3:uid="{21942814-BCF2-40F0-A870-96862EE78C05}" name="KIND" dataDxfId="164"/>
    <tableColumn id="4" xr3:uid="{4C90363D-8D8F-4F07-ABE1-BFCAE607AD32}" name="STATUS" dataDxfId="163"/>
    <tableColumn id="5" xr3:uid="{0BADBEBB-DE70-49C6-95A4-99E01B4E5CB9}" name="TYPE" dataDxfId="162"/>
    <tableColumn id="6" xr3:uid="{966EC278-6C76-4112-8543-441E876124D8}" name="RESOURCE GROUP" dataDxfId="161"/>
    <tableColumn id="7" xr3:uid="{FB2567AF-4B3C-44C9-9F00-784FAE44F236}" name="LOCATION" dataDxfId="160"/>
    <tableColumn id="8" xr3:uid="{17FD832D-5CA7-43D9-9E9A-32A0F5F715B1}" name="SUBSCRIPTION" dataDxfId="15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FD35C39-9172-4946-AEAB-E5345AB4050E}" name="Tabla2" displayName="Tabla2" ref="A1:I48" totalsRowShown="0" headerRowDxfId="148" dataDxfId="149">
  <autoFilter ref="A1:I48" xr:uid="{7FD35C39-9172-4946-AEAB-E5345AB4050E}"/>
  <tableColumns count="9">
    <tableColumn id="1" xr3:uid="{2A2B030A-17AC-46A9-8F14-6EE2DB0658A0}" name="NAME" dataDxfId="156"/>
    <tableColumn id="2" xr3:uid="{2AB99486-3250-40C2-A960-1647DE3D8F95}" name="SERVER" dataDxfId="155"/>
    <tableColumn id="3" xr3:uid="{40CE17A9-5EB8-449E-BBA8-E3D43CD8E993}" name="PRICING TIER" dataDxfId="154"/>
    <tableColumn id="4" xr3:uid="{4C3DF580-B7CF-45F8-B7B3-03405893E9D2}" name="LOCATION" dataDxfId="153"/>
    <tableColumn id="5" xr3:uid="{DFA394B5-A3E9-4AB8-AD94-E4CCFFC6AB45}" name="SUBSCRIPTION" dataDxfId="152"/>
    <tableColumn id="6" xr3:uid="{D6AAAB75-155E-4DCA-A281-78AC7D1402F0}" name="STATUS" dataDxfId="151"/>
    <tableColumn id="7" xr3:uid="{BE03D955-184D-4142-A3EB-7B979BCC2D4A}" name="TYPE" dataDxfId="150"/>
    <tableColumn id="8" xr3:uid="{DCDCA495-BA18-4E99-810F-936221410671}" name="PVP Aprox Mensual" dataDxfId="46"/>
    <tableColumn id="9" xr3:uid="{FE4E23CF-36C3-4E90-9AD0-5B5D59176291}" name="PVP IR Aprox" dataDxfId="4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2BEC881-63BB-41BD-80FB-6F9305A8870D}" name="Tabla3" displayName="Tabla3" ref="A1:F9" totalsRowShown="0" headerRowDxfId="141" dataDxfId="140">
  <autoFilter ref="A1:F9" xr:uid="{62BEC881-63BB-41BD-80FB-6F9305A8870D}"/>
  <tableColumns count="6">
    <tableColumn id="1" xr3:uid="{3779DF20-EA40-4E64-8F1F-3321B3EB3C0F}" name="NAME" dataDxfId="147"/>
    <tableColumn id="2" xr3:uid="{4EC0FC09-21F3-49DC-89B2-74F74605FFB3}" name="TYPE" dataDxfId="146"/>
    <tableColumn id="3" xr3:uid="{9DBAE60F-BC87-4BFA-A34D-C86F83144F65}" name="SUBSCRIPTION" dataDxfId="145"/>
    <tableColumn id="4" xr3:uid="{AD92C065-3717-4535-82E6-FFB3CBFC161C}" name="RESOURCE GROUP" dataDxfId="144"/>
    <tableColumn id="5" xr3:uid="{98F77A37-491F-4299-9E55-FB02C4287B52}" name="LOCATION" dataDxfId="143"/>
    <tableColumn id="7" xr3:uid="{E498A336-BA17-42E0-B74F-BC78D20786F5}" name="RESOURCE TYPE" dataDxfId="14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FD24E5-2C71-46AB-B3F1-97FCD2718E9E}" name="Tabla4" displayName="Tabla4" ref="A1:G4" totalsRowCount="1" headerRowDxfId="132" dataDxfId="133">
  <autoFilter ref="A1:G3" xr:uid="{13FD24E5-2C71-46AB-B3F1-97FCD2718E9E}"/>
  <tableColumns count="7">
    <tableColumn id="1" xr3:uid="{ABE61BFF-29E4-4543-B944-2DC78D18D188}" name="NAME" dataDxfId="139" totalsRowDxfId="43"/>
    <tableColumn id="2" xr3:uid="{7EAF423B-D544-491F-9EEC-2796879A2523}" name="STORAGE ACCOUNT TYPE" dataDxfId="138" totalsRowDxfId="42"/>
    <tableColumn id="3" xr3:uid="{FB5D9A89-357A-4656-A5A5-42013D4775A7}" name="SIZE (GIB)" dataDxfId="137" totalsRowDxfId="41"/>
    <tableColumn id="4" xr3:uid="{17300CC5-93CE-491B-BF7A-318B8A21FD24}" name="OWNER" dataDxfId="136" totalsRowDxfId="40"/>
    <tableColumn id="5" xr3:uid="{AD1A55F8-D145-4DFF-A186-409C45E4B987}" name="RESOURCE GROUP" dataDxfId="135" totalsRowDxfId="39"/>
    <tableColumn id="6" xr3:uid="{9503CCDC-3F33-4FC4-87D8-F5BB6E1F85F9}" name="LOCATION" dataDxfId="134" totalsRowDxfId="38"/>
    <tableColumn id="7" xr3:uid="{DE724DFF-5A86-4263-B438-DAB3207C0C36}" name="PVP Aprox Mensual" totalsRowFunction="custom" dataDxfId="44" totalsRowDxfId="37" dataCellStyle="Moneda" totalsRowCellStyle="Moneda">
      <totalsRowFormula>SUM(G2:G3)</totalsRowFormula>
    </tableColumn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BA32692-AB83-402F-80F6-75E74662BDD7}" name="Tabla5" displayName="Tabla5" ref="A1:G6" totalsRowShown="0" headerRowDxfId="124" dataDxfId="123">
  <autoFilter ref="A1:G6" xr:uid="{6BA32692-AB83-402F-80F6-75E74662BDD7}"/>
  <tableColumns count="7">
    <tableColumn id="1" xr3:uid="{BBDD10D3-228A-4F8C-AE6C-09D5255D8DB8}" name="NAME" dataDxfId="131"/>
    <tableColumn id="2" xr3:uid="{BED61FB6-684E-4C1E-BC04-42E9CB4617A6}" name="PRICING TIER" dataDxfId="130"/>
    <tableColumn id="3" xr3:uid="{98106BB2-C270-46CE-9F41-7C6A62F15829}" name="SERVICE TYPE" dataDxfId="129"/>
    <tableColumn id="5" xr3:uid="{F9F342AE-9DF2-4F45-98BD-B3F6F92B68A5}" name="SUBSCRIPTION" dataDxfId="128"/>
    <tableColumn id="7" xr3:uid="{C85F75C3-8318-4723-B9AF-A2D5499E1702}" name="RESOURCE GROUP" dataDxfId="127"/>
    <tableColumn id="9" xr3:uid="{DC8A4434-B2C1-42B8-83DD-EAA93DE03F64}" name="KIND" dataDxfId="126"/>
    <tableColumn id="10" xr3:uid="{6E3D8677-A712-4BE7-87CE-67708B12B0FF}" name="LOCATION" dataDxfId="125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681142C-ECA1-4601-9374-608FD8EA30E0}" name="Tabla6" displayName="Tabla6" ref="A1:J10" totalsRowShown="0" headerRowDxfId="113" dataDxfId="112">
  <autoFilter ref="A1:J10" xr:uid="{0681142C-ECA1-4601-9374-608FD8EA30E0}">
    <filterColumn colId="5">
      <filters>
        <filter val="-"/>
      </filters>
    </filterColumn>
  </autoFilter>
  <tableColumns count="10">
    <tableColumn id="1" xr3:uid="{3D8F93A2-860B-4E38-A622-10F4693F4C31}" name="NAME" dataDxfId="122"/>
    <tableColumn id="2" xr3:uid="{EBAB9746-F9C4-4D24-BDFC-B73404149EBD}" name="RESOURCE GROUP" dataDxfId="121"/>
    <tableColumn id="3" xr3:uid="{BA8947B9-8F69-4E25-9F03-EA2B059D55ED}" name="LOCATION" dataDxfId="120"/>
    <tableColumn id="4" xr3:uid="{35605EDF-C9E2-465B-82E2-C3653D45DBCD}" name="SUBSCRIPTION" dataDxfId="119"/>
    <tableColumn id="5" xr3:uid="{2FDCDAB7-499C-4CE6-824A-0B4A9DAA06D3}" name="ZONES" dataDxfId="118"/>
    <tableColumn id="6" xr3:uid="{F12B75BC-D3F1-4007-9F17-18F1DDC1AC02}" name="ASSOCIATED TO" dataDxfId="117"/>
    <tableColumn id="8" xr3:uid="{F6CB5DE1-09A6-4596-BBF2-DAA2589345CA}" name="IP ADDRESS" dataDxfId="116"/>
    <tableColumn id="9" xr3:uid="{24010ECA-EC0D-4F08-86E9-1BFEAE544930}" name="SKU" dataDxfId="115"/>
    <tableColumn id="10" xr3:uid="{BBCA95BA-40F4-4892-AA0F-4AEF266C4545}" name="TYPE" dataDxfId="114"/>
    <tableColumn id="11" xr3:uid="{BD8AB27C-4A17-484C-9312-DEAEC68381AA}" name="PVP Aprox Mensual" dataDxfId="36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3409EF3-04EB-4EA9-BC7E-FFA77D00A8CE}" name="Tabla7" displayName="Tabla7" ref="A1:G670" totalsRowShown="0" headerRowDxfId="104" dataDxfId="103">
  <autoFilter ref="A1:G670" xr:uid="{43409EF3-04EB-4EA9-BC7E-FFA77D00A8CE}"/>
  <tableColumns count="7">
    <tableColumn id="1" xr3:uid="{2AC46E2F-5584-431D-90CF-72999297A01A}" name="NAME" dataDxfId="111"/>
    <tableColumn id="2" xr3:uid="{A5566880-132A-446F-9B49-A0CA0BD9627F}" name="TYPE" dataDxfId="110"/>
    <tableColumn id="3" xr3:uid="{1D94C944-E633-4F21-9718-05F02F74D5F7}" name="RESOURCE GROUP" dataDxfId="109"/>
    <tableColumn id="4" xr3:uid="{778B8701-D95C-4F50-9FCD-4DDDA2852FAE}" name="LOCATION" dataDxfId="108"/>
    <tableColumn id="5" xr3:uid="{EBB69A3E-18C0-4B5D-9BB0-265037C6FDE0}" name="SUBSCRIPTION" dataDxfId="107"/>
    <tableColumn id="6" xr3:uid="{6A10DE9E-C734-4802-A0DD-A8E70259B182}" name="RESOURCE TYPE" dataDxfId="106"/>
    <tableColumn id="7" xr3:uid="{D02EE481-3BD7-4B98-A4F1-2489DCC5AEFE}" name="KIND" dataDxfId="105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B2BC8248-EAF5-4019-83B9-EFA78111B0FB}" name="Tabla15" displayName="Tabla15" ref="A1:G3" totalsRowShown="0" headerRowDxfId="48" dataDxfId="47">
  <autoFilter ref="A1:G3" xr:uid="{B2BC8248-EAF5-4019-83B9-EFA78111B0FB}"/>
  <tableColumns count="7">
    <tableColumn id="1" xr3:uid="{30C1A6A7-743F-48C7-B195-D1ADB86A5D9C}" name="NAME" dataDxfId="55"/>
    <tableColumn id="2" xr3:uid="{7E261267-A7DF-41F8-BDF6-95FB2570412F}" name="SIZE" dataDxfId="54"/>
    <tableColumn id="3" xr3:uid="{166EB06C-4F00-4DFF-9972-B4D5CAF02E8A}" name="SERVER NAME" dataDxfId="53"/>
    <tableColumn id="4" xr3:uid="{E571BD9F-972D-4C0A-A47D-9CC43F43F19B}" name="SUBSCRIPTION" dataDxfId="52"/>
    <tableColumn id="5" xr3:uid="{68DF6EFF-E8DF-4A7F-9F62-146AC22511B6}" name="STATUS" dataDxfId="51"/>
    <tableColumn id="6" xr3:uid="{F8D914AD-85AE-4964-8D14-2CA5E1329A49}" name="LOCATION" dataDxfId="50"/>
    <tableColumn id="7" xr3:uid="{7CA1D271-FD35-4704-876A-F3A2237DD8C7}" name="TIER" dataDxfId="49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FFAD9B4-9299-4F71-9087-538EFC9F3188}" name="Tabla8" displayName="Tabla8" ref="A1:H3" totalsRowShown="0" headerRowDxfId="94" dataDxfId="93">
  <autoFilter ref="A1:H3" xr:uid="{8FFAD9B4-9299-4F71-9087-538EFC9F3188}"/>
  <tableColumns count="8">
    <tableColumn id="1" xr3:uid="{036AD910-5B4D-436F-853D-B6E2C6652643}" name="NAME" dataDxfId="102"/>
    <tableColumn id="2" xr3:uid="{D1B4DCE8-67A0-491C-BA23-1161F85228D6}" name="TYPE" dataDxfId="101"/>
    <tableColumn id="3" xr3:uid="{9AE4B4EC-8DBC-4E4F-8AEF-4489DA5F73D9}" name="STATUS" dataDxfId="100"/>
    <tableColumn id="5" xr3:uid="{0689A1AC-4A6C-4B0C-A732-B93FEC0FA175}" name="RESOURCE GROUP" dataDxfId="99"/>
    <tableColumn id="6" xr3:uid="{181F9722-A791-41F8-B88C-4503A6B65E3D}" name="LOCATION" dataDxfId="98"/>
    <tableColumn id="7" xr3:uid="{2152E6F8-4B41-47A2-8F95-AD6C4B89F88B}" name="SUBSCRIPTION" dataDxfId="97"/>
    <tableColumn id="9" xr3:uid="{31A88030-2572-4E1D-9A07-AE1F370FBD79}" name="TYPE2" dataDxfId="96"/>
    <tableColumn id="10" xr3:uid="{34982FF2-C795-4521-A16E-167ABF6C339C}" name="Performance" dataDxfId="95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74CE97C-60C0-4E6D-A155-9DC4983827AA}" name="Tabla9" displayName="Tabla9" ref="A1:F67" totalsRowShown="0" headerRowDxfId="85" dataDxfId="86">
  <autoFilter ref="A1:F67" xr:uid="{574CE97C-60C0-4E6D-A155-9DC4983827AA}"/>
  <sortState xmlns:xlrd2="http://schemas.microsoft.com/office/spreadsheetml/2017/richdata2" ref="A2:F67">
    <sortCondition ref="B1:B67"/>
  </sortState>
  <tableColumns count="6">
    <tableColumn id="1" xr3:uid="{E6495AC4-0A70-4A9E-BB67-BA8FE1C7C815}" name="NAME" dataDxfId="92"/>
    <tableColumn id="2" xr3:uid="{24FC3FFA-DF13-449E-B223-8389C6F193F9}" name="STATUS" dataDxfId="91"/>
    <tableColumn id="3" xr3:uid="{68674A2E-94A9-4F91-920A-C788FD636245}" name="LOCATION" dataDxfId="90"/>
    <tableColumn id="4" xr3:uid="{6EC96C67-1A08-418C-9AE2-4AB07593906E}" name="PRICING TIER" dataDxfId="89"/>
    <tableColumn id="5" xr3:uid="{ECA715DC-C828-449A-8007-2E2069E3196D}" name="TYPE" dataDxfId="88"/>
    <tableColumn id="6" xr3:uid="{1CC87DB1-DC06-4D0F-9879-D4B94C9337DC}" name="APP SERVICE PLAN" dataDxfId="87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194BEFF-D776-477A-B5FE-00E3A1B4684B}" name="Tabla10" displayName="Tabla10" ref="A1:I232" totalsRowShown="0" headerRowDxfId="77" dataDxfId="78">
  <autoFilter ref="A1:I232" xr:uid="{C194BEFF-D776-477A-B5FE-00E3A1B4684B}"/>
  <sortState xmlns:xlrd2="http://schemas.microsoft.com/office/spreadsheetml/2017/richdata2" ref="A2:I232">
    <sortCondition ref="B1:B232"/>
  </sortState>
  <tableColumns count="9">
    <tableColumn id="1" xr3:uid="{E3205563-1FE8-4965-B0BD-FBA05E725484}" name="NAME" dataDxfId="84"/>
    <tableColumn id="2" xr3:uid="{6930AB21-3998-4789-9533-BE40761BA454}" name="STATUS" dataDxfId="83"/>
    <tableColumn id="3" xr3:uid="{495B857D-2598-42DC-AF4B-F6825046A42D}" name="LOCATION" dataDxfId="82"/>
    <tableColumn id="4" xr3:uid="{7A0B190F-98F3-490C-9806-EF67CE774EE8}" name="PRICING TIER" dataDxfId="81"/>
    <tableColumn id="7" xr3:uid="{E8890486-B9EF-49AC-89DF-E119CD7802EC}" name="APP TYPE" dataDxfId="80"/>
    <tableColumn id="8" xr3:uid="{F5030B69-68AD-4212-BC01-A95942EA647F}" name="TYPE" dataDxfId="79"/>
    <tableColumn id="14" xr3:uid="{A7B6293D-AD46-4860-B69B-0A6C097C5C1D}" name="APP SERVICE PLAN6" dataDxfId="76"/>
    <tableColumn id="17" xr3:uid="{2BECF7E5-8855-431B-9A33-3BC2662BF85D}" name="APP SERVICE PLAN9" dataDxfId="75"/>
    <tableColumn id="18" xr3:uid="{0E258118-0230-4407-A7F9-A21331BBC678}" name="APP SERVICE PLAN10" dataDxfId="74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F4ED9B4-5A8B-45AA-A2BD-2AAF3E5F2FD7}" name="Tabla12" displayName="Tabla12" ref="A1:R5" totalsRowCount="1" headerRowDxfId="72" dataDxfId="73">
  <autoFilter ref="A1:R4" xr:uid="{AF4ED9B4-5A8B-45AA-A2BD-2AAF3E5F2FD7}"/>
  <tableColumns count="18">
    <tableColumn id="1" xr3:uid="{1F9267B7-7716-4D70-81CE-73A166FF5FE4}" name="NAME" dataDxfId="35" totalsRowDxfId="34"/>
    <tableColumn id="3" xr3:uid="{E73C11CA-E842-4DBE-A9F7-C827BAF1979C}" name="SUBSCRIPTION" dataDxfId="33" totalsRowDxfId="32"/>
    <tableColumn id="4" xr3:uid="{059A8B07-5203-4125-B793-2A752FBFB24D}" name="RESOURCE GROUP" dataDxfId="31" totalsRowDxfId="30"/>
    <tableColumn id="5" xr3:uid="{EF8D69EC-C7CA-4CFB-9249-4B58C33F85E4}" name="LOCATION" dataDxfId="29" totalsRowDxfId="28"/>
    <tableColumn id="6" xr3:uid="{EB265A08-4435-4029-863D-C948A328CFE0}" name="STATUS" dataDxfId="27" totalsRowDxfId="26"/>
    <tableColumn id="7" xr3:uid="{B877CF1F-F4E7-4276-B9FB-053BCEF9AE96}" name="OPERATING SYSTEM" dataDxfId="25" totalsRowDxfId="24"/>
    <tableColumn id="8" xr3:uid="{1FDCA6F9-A54B-43BA-A0EE-55BAE003BFE8}" name="SIZE" dataDxfId="23" totalsRowDxfId="22"/>
    <tableColumn id="9" xr3:uid="{49B492EB-B781-4C62-AC79-4DB417E8FE97}" name="PUBLIC IP ADDRESS" dataDxfId="21" totalsRowDxfId="20"/>
    <tableColumn id="16" xr3:uid="{16802DD9-8EC4-4F5A-AC16-22B5E0749462}" name="PVP Aprox Mensual" totalsRowFunction="custom" dataDxfId="19" totalsRowDxfId="18" dataCellStyle="Moneda">
      <totalsRowFormula>SUM(I2:I4)</totalsRowFormula>
    </tableColumn>
    <tableColumn id="17" xr3:uid="{0D8F2D9D-980D-472C-9230-5E3B18BB34AC}" name="IR Aprox Mensual" totalsRowFunction="custom" dataDxfId="17" totalsRowDxfId="16" dataCellStyle="Moneda">
      <totalsRowFormula>SUM(J2:J4)</totalsRowFormula>
    </tableColumn>
    <tableColumn id="10" xr3:uid="{D82B13F7-EBD4-4162-A7C0-D65E61951951}" name="DISKS" dataDxfId="15" totalsRowDxfId="14"/>
    <tableColumn id="12" xr3:uid="{B2610BCE-1258-4A2F-86F1-4A6B85BC5733}" name="CPU MAX" dataDxfId="13" totalsRowDxfId="12"/>
    <tableColumn id="13" xr3:uid="{2A6F2495-8F7A-416F-AA45-DC9F1E00F408}" name="CPU AVG" dataDxfId="11" totalsRowDxfId="10"/>
    <tableColumn id="14" xr3:uid="{5BFC3CD4-5CD5-46EB-B247-817C6649B79C}" name="RAM MAX" dataDxfId="9" totalsRowDxfId="8"/>
    <tableColumn id="15" xr3:uid="{C585A752-49E8-4D44-AECC-0AF0CA302E53}" name="RAM AVG" dataDxfId="7" totalsRowDxfId="6"/>
    <tableColumn id="18" xr3:uid="{D68C9B8C-B592-4E9D-8739-795CA2D12109}" name="Plantilla Propuesta" dataDxfId="5" totalsRowDxfId="4"/>
    <tableColumn id="19" xr3:uid="{2E542D7D-4B2C-42EE-9AC4-66698EE40C69}" name="PVP Aprox Mensual2" totalsRowFunction="custom" dataDxfId="3" totalsRowDxfId="2" dataCellStyle="Moneda">
      <totalsRowFormula>SUM(Q2:Q4)</totalsRowFormula>
    </tableColumn>
    <tableColumn id="20" xr3:uid="{1342F90F-0ADD-4426-8F58-49D817B4F2C4}" name="PVP IR Aprox" totalsRowFunction="custom" dataDxfId="1" totalsRowDxfId="0" dataCellStyle="Moneda">
      <totalsRowFormula>SUM(R2:R4)</totalsRowFormula>
    </tableColumn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8CF9182-E733-4637-832D-0C024DD46B5E}" name="Tabla13" displayName="Tabla13" ref="A1:E108" totalsRowShown="0" headerRowDxfId="65" dataDxfId="66">
  <autoFilter ref="A1:E108" xr:uid="{78CF9182-E733-4637-832D-0C024DD46B5E}"/>
  <tableColumns count="5">
    <tableColumn id="1" xr3:uid="{9EA54295-A15E-4CB5-9AD4-E9303B5CA048}" name="NAME" dataDxfId="71"/>
    <tableColumn id="2" xr3:uid="{54A61C9E-F399-47D9-AE27-4C2C4A0929DC}" name="RESOURCE GROUP" dataDxfId="70"/>
    <tableColumn id="3" xr3:uid="{857D4CAE-41DB-49E5-9EA2-C2C40FA704EF}" name="LOCATION" dataDxfId="69"/>
    <tableColumn id="4" xr3:uid="{DF9929AB-9905-4844-98AB-15A3224455EA}" name="SUBSCRIPTION" dataDxfId="68"/>
    <tableColumn id="5" xr3:uid="{B493A3F5-5918-4B53-9E81-E755CC730AF6}" name="TYPE" dataDxfId="67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86D0108-88EB-43E8-B21F-4BA961E7C2B1}" name="Tabla14" displayName="Tabla14" ref="A1:G14" totalsRowShown="0" headerRowDxfId="56" dataDxfId="57">
  <autoFilter ref="A1:G14" xr:uid="{086D0108-88EB-43E8-B21F-4BA961E7C2B1}"/>
  <tableColumns count="7">
    <tableColumn id="1" xr3:uid="{DFB13410-D6CA-49A0-B5B5-4B5F2B50C85E}" name="NAME" dataDxfId="64"/>
    <tableColumn id="2" xr3:uid="{1DE8421F-EAE3-417F-B0B8-51165C984D8D}" name="STATUS" dataDxfId="63"/>
    <tableColumn id="3" xr3:uid="{EFB27527-E334-4E41-9364-2347201522C3}" name="RESOURCE GROUP" dataDxfId="62"/>
    <tableColumn id="4" xr3:uid="{C44F0718-61DA-4ADA-82D8-E2A8F65C074F}" name="LOCATION" dataDxfId="61"/>
    <tableColumn id="5" xr3:uid="{4CB31093-E20B-4537-98CF-07DE824CB65D}" name="SUBSCRIPTION" dataDxfId="60"/>
    <tableColumn id="6" xr3:uid="{C684F12D-909B-4A0D-AC8F-87228147485E}" name="KIND" dataDxfId="59"/>
    <tableColumn id="7" xr3:uid="{C4446F5B-B05A-4006-88A3-639A93D177D6}" name="TYPE" dataDxfId="5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3DBDD-E60F-40A7-9E27-76F946C554F1}">
  <dimension ref="A1:H30"/>
  <sheetViews>
    <sheetView showGridLines="0" topLeftCell="A7" workbookViewId="0">
      <selection activeCell="J26" sqref="J26"/>
    </sheetView>
  </sheetViews>
  <sheetFormatPr baseColWidth="10" defaultRowHeight="15" x14ac:dyDescent="0.25"/>
  <cols>
    <col min="1" max="1" width="24" bestFit="1" customWidth="1"/>
    <col min="2" max="2" width="31.140625" customWidth="1"/>
    <col min="5" max="5" width="17.85546875" customWidth="1"/>
    <col min="6" max="6" width="17" customWidth="1"/>
    <col min="8" max="8" width="24.5703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 t="s">
        <v>16</v>
      </c>
      <c r="B2" s="1" t="s">
        <v>17</v>
      </c>
      <c r="C2" s="1" t="s">
        <v>10</v>
      </c>
      <c r="D2" s="1" t="s">
        <v>18</v>
      </c>
      <c r="E2" s="1" t="s">
        <v>12</v>
      </c>
      <c r="F2" s="1" t="s">
        <v>19</v>
      </c>
      <c r="G2" s="1" t="s">
        <v>14</v>
      </c>
      <c r="H2" s="1" t="s">
        <v>15</v>
      </c>
    </row>
    <row r="3" spans="1:8" x14ac:dyDescent="0.25">
      <c r="A3" s="1" t="s">
        <v>16</v>
      </c>
      <c r="B3" s="1" t="s">
        <v>20</v>
      </c>
      <c r="C3" s="1" t="s">
        <v>10</v>
      </c>
      <c r="D3" s="1" t="s">
        <v>18</v>
      </c>
      <c r="E3" s="1" t="s">
        <v>12</v>
      </c>
      <c r="F3" s="1" t="s">
        <v>21</v>
      </c>
      <c r="G3" s="1" t="s">
        <v>14</v>
      </c>
      <c r="H3" s="1" t="s">
        <v>15</v>
      </c>
    </row>
    <row r="4" spans="1:8" x14ac:dyDescent="0.25">
      <c r="A4" s="1" t="s">
        <v>22</v>
      </c>
      <c r="B4" s="1" t="s">
        <v>23</v>
      </c>
      <c r="C4" s="1" t="s">
        <v>10</v>
      </c>
      <c r="D4" s="1" t="s">
        <v>18</v>
      </c>
      <c r="E4" s="1" t="s">
        <v>12</v>
      </c>
      <c r="F4" s="1" t="s">
        <v>19</v>
      </c>
      <c r="G4" s="1" t="s">
        <v>24</v>
      </c>
      <c r="H4" s="1" t="s">
        <v>15</v>
      </c>
    </row>
    <row r="5" spans="1:8" x14ac:dyDescent="0.25">
      <c r="A5" s="1" t="s">
        <v>25</v>
      </c>
      <c r="B5" s="1" t="s">
        <v>26</v>
      </c>
      <c r="C5" s="1" t="s">
        <v>10</v>
      </c>
      <c r="D5" s="1" t="s">
        <v>18</v>
      </c>
      <c r="E5" s="1" t="s">
        <v>12</v>
      </c>
      <c r="F5" s="1" t="s">
        <v>19</v>
      </c>
      <c r="G5" s="1" t="s">
        <v>14</v>
      </c>
      <c r="H5" s="1" t="s">
        <v>15</v>
      </c>
    </row>
    <row r="6" spans="1:8" x14ac:dyDescent="0.25">
      <c r="A6" s="1" t="s">
        <v>27</v>
      </c>
      <c r="B6" s="1" t="s">
        <v>27</v>
      </c>
      <c r="C6" s="1" t="s">
        <v>10</v>
      </c>
      <c r="D6" s="1" t="s">
        <v>18</v>
      </c>
      <c r="E6" s="1" t="s">
        <v>12</v>
      </c>
      <c r="F6" s="1" t="s">
        <v>19</v>
      </c>
      <c r="G6" s="1" t="s">
        <v>24</v>
      </c>
      <c r="H6" s="1" t="s">
        <v>15</v>
      </c>
    </row>
    <row r="7" spans="1:8" x14ac:dyDescent="0.25">
      <c r="A7" s="1" t="s">
        <v>30</v>
      </c>
      <c r="B7" s="1" t="s">
        <v>31</v>
      </c>
      <c r="C7" s="1" t="s">
        <v>10</v>
      </c>
      <c r="D7" s="1" t="s">
        <v>18</v>
      </c>
      <c r="E7" s="1" t="s">
        <v>12</v>
      </c>
      <c r="F7" s="1" t="s">
        <v>19</v>
      </c>
      <c r="G7" s="1" t="s">
        <v>14</v>
      </c>
      <c r="H7" s="1" t="s">
        <v>15</v>
      </c>
    </row>
    <row r="8" spans="1:8" x14ac:dyDescent="0.25">
      <c r="A8" s="1" t="s">
        <v>30</v>
      </c>
      <c r="B8" s="1" t="s">
        <v>32</v>
      </c>
      <c r="C8" s="1" t="s">
        <v>10</v>
      </c>
      <c r="D8" s="1" t="s">
        <v>18</v>
      </c>
      <c r="E8" s="1" t="s">
        <v>12</v>
      </c>
      <c r="F8" s="1" t="s">
        <v>21</v>
      </c>
      <c r="G8" s="1" t="s">
        <v>14</v>
      </c>
      <c r="H8" s="1" t="s">
        <v>15</v>
      </c>
    </row>
    <row r="9" spans="1:8" x14ac:dyDescent="0.25">
      <c r="A9" s="1" t="s">
        <v>33</v>
      </c>
      <c r="B9" s="1" t="s">
        <v>26</v>
      </c>
      <c r="C9" s="1" t="s">
        <v>10</v>
      </c>
      <c r="D9" s="1" t="s">
        <v>18</v>
      </c>
      <c r="E9" s="1" t="s">
        <v>12</v>
      </c>
      <c r="F9" s="1" t="s">
        <v>19</v>
      </c>
      <c r="G9" s="1" t="s">
        <v>14</v>
      </c>
      <c r="H9" s="1" t="s">
        <v>15</v>
      </c>
    </row>
    <row r="10" spans="1:8" x14ac:dyDescent="0.25">
      <c r="A10" s="1" t="s">
        <v>34</v>
      </c>
      <c r="B10" s="1" t="s">
        <v>35</v>
      </c>
      <c r="C10" s="1" t="s">
        <v>10</v>
      </c>
      <c r="D10" s="1" t="s">
        <v>18</v>
      </c>
      <c r="E10" s="1" t="s">
        <v>12</v>
      </c>
      <c r="F10" s="1" t="s">
        <v>19</v>
      </c>
      <c r="G10" s="1" t="s">
        <v>14</v>
      </c>
      <c r="H10" s="1" t="s">
        <v>15</v>
      </c>
    </row>
    <row r="11" spans="1:8" x14ac:dyDescent="0.25">
      <c r="A11" s="1" t="s">
        <v>34</v>
      </c>
      <c r="B11" s="1" t="s">
        <v>36</v>
      </c>
      <c r="C11" s="1" t="s">
        <v>10</v>
      </c>
      <c r="D11" s="1" t="s">
        <v>18</v>
      </c>
      <c r="E11" s="1" t="s">
        <v>12</v>
      </c>
      <c r="F11" s="1" t="s">
        <v>21</v>
      </c>
      <c r="G11" s="1" t="s">
        <v>14</v>
      </c>
      <c r="H11" s="1" t="s">
        <v>15</v>
      </c>
    </row>
    <row r="12" spans="1:8" x14ac:dyDescent="0.25">
      <c r="A12" s="1" t="s">
        <v>37</v>
      </c>
      <c r="B12" s="1" t="s">
        <v>38</v>
      </c>
      <c r="C12" s="1" t="s">
        <v>10</v>
      </c>
      <c r="D12" s="1" t="s">
        <v>18</v>
      </c>
      <c r="E12" s="1" t="s">
        <v>12</v>
      </c>
      <c r="F12" s="1" t="s">
        <v>19</v>
      </c>
      <c r="G12" s="1" t="s">
        <v>24</v>
      </c>
      <c r="H12" s="1" t="s">
        <v>15</v>
      </c>
    </row>
    <row r="13" spans="1:8" x14ac:dyDescent="0.25">
      <c r="A13" s="1" t="s">
        <v>37</v>
      </c>
      <c r="B13" s="1" t="s">
        <v>39</v>
      </c>
      <c r="C13" s="1" t="s">
        <v>10</v>
      </c>
      <c r="D13" s="1" t="s">
        <v>18</v>
      </c>
      <c r="E13" s="1" t="s">
        <v>12</v>
      </c>
      <c r="F13" s="1" t="s">
        <v>21</v>
      </c>
      <c r="G13" s="1" t="s">
        <v>14</v>
      </c>
      <c r="H13" s="1" t="s">
        <v>15</v>
      </c>
    </row>
    <row r="14" spans="1:8" x14ac:dyDescent="0.25">
      <c r="A14" s="1" t="s">
        <v>40</v>
      </c>
      <c r="B14" s="1" t="s">
        <v>41</v>
      </c>
      <c r="C14" s="1" t="s">
        <v>10</v>
      </c>
      <c r="D14" s="1" t="s">
        <v>18</v>
      </c>
      <c r="E14" s="1" t="s">
        <v>12</v>
      </c>
      <c r="F14" s="1" t="s">
        <v>21</v>
      </c>
      <c r="G14" s="1" t="s">
        <v>14</v>
      </c>
      <c r="H14" s="1" t="s">
        <v>15</v>
      </c>
    </row>
    <row r="15" spans="1:8" x14ac:dyDescent="0.25">
      <c r="A15" s="1" t="s">
        <v>42</v>
      </c>
      <c r="B15" s="1" t="s">
        <v>41</v>
      </c>
      <c r="C15" s="1" t="s">
        <v>10</v>
      </c>
      <c r="D15" s="1" t="s">
        <v>18</v>
      </c>
      <c r="E15" s="1" t="s">
        <v>12</v>
      </c>
      <c r="F15" s="1" t="s">
        <v>21</v>
      </c>
      <c r="G15" s="1" t="s">
        <v>14</v>
      </c>
      <c r="H15" s="1" t="s">
        <v>15</v>
      </c>
    </row>
    <row r="16" spans="1:8" x14ac:dyDescent="0.25">
      <c r="A16" s="1" t="s">
        <v>43</v>
      </c>
      <c r="B16" s="1" t="s">
        <v>36</v>
      </c>
      <c r="C16" s="1" t="s">
        <v>10</v>
      </c>
      <c r="D16" s="1" t="s">
        <v>18</v>
      </c>
      <c r="E16" s="1" t="s">
        <v>12</v>
      </c>
      <c r="F16" s="1" t="s">
        <v>19</v>
      </c>
      <c r="G16" s="1" t="s">
        <v>14</v>
      </c>
      <c r="H16" s="1" t="s">
        <v>15</v>
      </c>
    </row>
    <row r="17" spans="1:8" x14ac:dyDescent="0.25">
      <c r="A17" s="1" t="s">
        <v>43</v>
      </c>
      <c r="B17" s="1" t="s">
        <v>44</v>
      </c>
      <c r="C17" s="1" t="s">
        <v>10</v>
      </c>
      <c r="D17" s="1" t="s">
        <v>18</v>
      </c>
      <c r="E17" s="1" t="s">
        <v>12</v>
      </c>
      <c r="F17" s="1" t="s">
        <v>21</v>
      </c>
      <c r="G17" s="1" t="s">
        <v>14</v>
      </c>
      <c r="H17" s="1" t="s">
        <v>15</v>
      </c>
    </row>
    <row r="18" spans="1:8" x14ac:dyDescent="0.25">
      <c r="A18" s="1" t="s">
        <v>45</v>
      </c>
      <c r="B18" s="1" t="s">
        <v>46</v>
      </c>
      <c r="C18" s="1" t="s">
        <v>10</v>
      </c>
      <c r="D18" s="1" t="s">
        <v>18</v>
      </c>
      <c r="E18" s="1" t="s">
        <v>12</v>
      </c>
      <c r="F18" s="1" t="s">
        <v>21</v>
      </c>
      <c r="G18" s="1" t="s">
        <v>14</v>
      </c>
      <c r="H18" s="1" t="s">
        <v>15</v>
      </c>
    </row>
    <row r="19" spans="1:8" x14ac:dyDescent="0.25">
      <c r="A19" s="1" t="s">
        <v>47</v>
      </c>
      <c r="B19" s="1" t="s">
        <v>48</v>
      </c>
      <c r="C19" s="1" t="s">
        <v>10</v>
      </c>
      <c r="D19" s="1" t="s">
        <v>18</v>
      </c>
      <c r="E19" s="1" t="s">
        <v>12</v>
      </c>
      <c r="F19" s="1" t="s">
        <v>21</v>
      </c>
      <c r="G19" s="1" t="s">
        <v>14</v>
      </c>
      <c r="H19" s="1" t="s">
        <v>15</v>
      </c>
    </row>
    <row r="20" spans="1:8" x14ac:dyDescent="0.25">
      <c r="A20" s="1" t="s">
        <v>49</v>
      </c>
      <c r="B20" s="1" t="s">
        <v>50</v>
      </c>
      <c r="C20" s="1" t="s">
        <v>10</v>
      </c>
      <c r="D20" s="1" t="s">
        <v>18</v>
      </c>
      <c r="E20" s="1" t="s">
        <v>12</v>
      </c>
      <c r="F20" s="1" t="s">
        <v>21</v>
      </c>
      <c r="G20" s="1" t="s">
        <v>14</v>
      </c>
      <c r="H20" s="1" t="s">
        <v>15</v>
      </c>
    </row>
    <row r="21" spans="1:8" x14ac:dyDescent="0.25">
      <c r="A21" s="1" t="s">
        <v>51</v>
      </c>
      <c r="B21" s="1" t="s">
        <v>52</v>
      </c>
      <c r="C21" s="1" t="s">
        <v>10</v>
      </c>
      <c r="D21" s="1" t="s">
        <v>18</v>
      </c>
      <c r="E21" s="1" t="s">
        <v>12</v>
      </c>
      <c r="F21" s="1" t="s">
        <v>21</v>
      </c>
      <c r="G21" s="1" t="s">
        <v>14</v>
      </c>
      <c r="H21" s="1" t="s">
        <v>15</v>
      </c>
    </row>
    <row r="22" spans="1:8" x14ac:dyDescent="0.25">
      <c r="A22" s="1" t="s">
        <v>53</v>
      </c>
      <c r="B22" s="1" t="s">
        <v>54</v>
      </c>
      <c r="C22" s="1" t="s">
        <v>10</v>
      </c>
      <c r="D22" s="1" t="s">
        <v>18</v>
      </c>
      <c r="E22" s="1" t="s">
        <v>12</v>
      </c>
      <c r="F22" s="1" t="s">
        <v>21</v>
      </c>
      <c r="G22" s="1" t="s">
        <v>14</v>
      </c>
      <c r="H22" s="1" t="s">
        <v>15</v>
      </c>
    </row>
    <row r="23" spans="1:8" x14ac:dyDescent="0.25">
      <c r="A23" s="1" t="s">
        <v>55</v>
      </c>
      <c r="B23" s="1" t="s">
        <v>56</v>
      </c>
      <c r="C23" s="1" t="s">
        <v>10</v>
      </c>
      <c r="D23" s="1" t="s">
        <v>18</v>
      </c>
      <c r="E23" s="1" t="s">
        <v>12</v>
      </c>
      <c r="F23" s="1" t="s">
        <v>21</v>
      </c>
      <c r="G23" s="1" t="s">
        <v>14</v>
      </c>
      <c r="H23" s="1" t="s">
        <v>15</v>
      </c>
    </row>
    <row r="24" spans="1:8" x14ac:dyDescent="0.25">
      <c r="A24" s="1" t="s">
        <v>57</v>
      </c>
      <c r="B24" s="1" t="s">
        <v>58</v>
      </c>
      <c r="C24" s="1" t="s">
        <v>10</v>
      </c>
      <c r="D24" s="1" t="s">
        <v>18</v>
      </c>
      <c r="E24" s="1" t="s">
        <v>12</v>
      </c>
      <c r="F24" s="1" t="s">
        <v>21</v>
      </c>
      <c r="G24" s="1" t="s">
        <v>14</v>
      </c>
      <c r="H24" s="1" t="s">
        <v>15</v>
      </c>
    </row>
    <row r="25" spans="1:8" x14ac:dyDescent="0.25">
      <c r="A25" s="1" t="s">
        <v>60</v>
      </c>
      <c r="B25" s="1" t="s">
        <v>61</v>
      </c>
      <c r="C25" s="1" t="s">
        <v>10</v>
      </c>
      <c r="D25" s="1" t="s">
        <v>18</v>
      </c>
      <c r="E25" s="1" t="s">
        <v>12</v>
      </c>
      <c r="F25" s="1" t="s">
        <v>19</v>
      </c>
      <c r="G25" s="1" t="s">
        <v>14</v>
      </c>
      <c r="H25" s="1" t="s">
        <v>15</v>
      </c>
    </row>
    <row r="26" spans="1:8" x14ac:dyDescent="0.25">
      <c r="A26" s="1" t="s">
        <v>62</v>
      </c>
      <c r="B26" s="1" t="s">
        <v>63</v>
      </c>
      <c r="C26" s="1" t="s">
        <v>10</v>
      </c>
      <c r="D26" s="1" t="s">
        <v>18</v>
      </c>
      <c r="E26" s="1" t="s">
        <v>12</v>
      </c>
      <c r="F26" s="1" t="s">
        <v>64</v>
      </c>
      <c r="G26" s="1" t="s">
        <v>14</v>
      </c>
      <c r="H26" s="1" t="s">
        <v>15</v>
      </c>
    </row>
    <row r="27" spans="1:8" x14ac:dyDescent="0.25">
      <c r="A27" s="1" t="s">
        <v>65</v>
      </c>
      <c r="B27" s="1" t="s">
        <v>66</v>
      </c>
      <c r="C27" s="1" t="s">
        <v>10</v>
      </c>
      <c r="D27" s="1" t="s">
        <v>18</v>
      </c>
      <c r="E27" s="1" t="s">
        <v>12</v>
      </c>
      <c r="F27" s="1" t="s">
        <v>64</v>
      </c>
      <c r="G27" s="1" t="s">
        <v>14</v>
      </c>
      <c r="H27" s="1" t="s">
        <v>15</v>
      </c>
    </row>
    <row r="28" spans="1:8" x14ac:dyDescent="0.25">
      <c r="A28" s="2" t="s">
        <v>8</v>
      </c>
      <c r="B28" s="2" t="s">
        <v>9</v>
      </c>
      <c r="C28" s="2" t="s">
        <v>10</v>
      </c>
      <c r="D28" s="2" t="s">
        <v>11</v>
      </c>
      <c r="E28" s="2" t="s">
        <v>12</v>
      </c>
      <c r="F28" s="2" t="s">
        <v>13</v>
      </c>
      <c r="G28" s="2" t="s">
        <v>14</v>
      </c>
      <c r="H28" s="2" t="s">
        <v>15</v>
      </c>
    </row>
    <row r="29" spans="1:8" x14ac:dyDescent="0.25">
      <c r="A29" s="2" t="s">
        <v>28</v>
      </c>
      <c r="B29" s="2" t="s">
        <v>29</v>
      </c>
      <c r="C29" s="2" t="s">
        <v>10</v>
      </c>
      <c r="D29" s="2" t="s">
        <v>11</v>
      </c>
      <c r="E29" s="2" t="s">
        <v>12</v>
      </c>
      <c r="F29" s="2" t="s">
        <v>19</v>
      </c>
      <c r="G29" s="2" t="s">
        <v>14</v>
      </c>
      <c r="H29" s="2" t="s">
        <v>15</v>
      </c>
    </row>
    <row r="30" spans="1:8" x14ac:dyDescent="0.25">
      <c r="A30" s="2" t="s">
        <v>59</v>
      </c>
      <c r="B30" s="2" t="s">
        <v>9</v>
      </c>
      <c r="C30" s="2" t="s">
        <v>10</v>
      </c>
      <c r="D30" s="2" t="s">
        <v>11</v>
      </c>
      <c r="E30" s="2" t="s">
        <v>12</v>
      </c>
      <c r="F30" s="2" t="s">
        <v>13</v>
      </c>
      <c r="G30" s="2" t="s">
        <v>14</v>
      </c>
      <c r="H30" s="2" t="s">
        <v>15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7190A-72E5-47EE-94CB-76B5DD469C31}">
  <dimension ref="A1:J2"/>
  <sheetViews>
    <sheetView showGridLines="0" topLeftCell="B1" workbookViewId="0">
      <selection activeCell="D14" sqref="D14"/>
    </sheetView>
  </sheetViews>
  <sheetFormatPr baseColWidth="10" defaultRowHeight="15" x14ac:dyDescent="0.25"/>
  <cols>
    <col min="1" max="1" width="12.5703125" bestFit="1" customWidth="1"/>
    <col min="2" max="2" width="59.85546875" bestFit="1" customWidth="1"/>
    <col min="3" max="3" width="30.42578125" bestFit="1" customWidth="1"/>
    <col min="4" max="4" width="55.7109375" bestFit="1" customWidth="1"/>
    <col min="5" max="5" width="12.85546875" bestFit="1" customWidth="1"/>
    <col min="6" max="6" width="30.42578125" bestFit="1" customWidth="1"/>
    <col min="7" max="7" width="12.42578125" bestFit="1" customWidth="1"/>
    <col min="8" max="8" width="19.85546875" bestFit="1" customWidth="1"/>
    <col min="9" max="9" width="23.28515625" bestFit="1" customWidth="1"/>
    <col min="10" max="10" width="24.42578125" bestFit="1" customWidth="1"/>
  </cols>
  <sheetData>
    <row r="1" spans="1:10" x14ac:dyDescent="0.25">
      <c r="A1" s="1" t="s">
        <v>67</v>
      </c>
      <c r="B1" s="1" t="s">
        <v>68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</row>
    <row r="2" spans="1:10" x14ac:dyDescent="0.25">
      <c r="A2" s="1" t="s">
        <v>77</v>
      </c>
      <c r="B2" s="1" t="s">
        <v>78</v>
      </c>
      <c r="C2" s="1" t="s">
        <v>79</v>
      </c>
      <c r="D2" s="1" t="s">
        <v>80</v>
      </c>
      <c r="E2" s="1"/>
      <c r="F2" s="1" t="s">
        <v>79</v>
      </c>
      <c r="G2" s="1" t="s">
        <v>81</v>
      </c>
      <c r="H2" s="1" t="s">
        <v>82</v>
      </c>
      <c r="I2" s="1">
        <v>452.83</v>
      </c>
      <c r="J2" s="1" t="s">
        <v>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36C1E-9131-453B-8769-2CCBD611E893}">
  <dimension ref="A1:I48"/>
  <sheetViews>
    <sheetView showGridLines="0" topLeftCell="A19" workbookViewId="0">
      <selection activeCell="C55" sqref="C55"/>
    </sheetView>
  </sheetViews>
  <sheetFormatPr baseColWidth="10" defaultRowHeight="10.5" x14ac:dyDescent="0.15"/>
  <cols>
    <col min="1" max="1" width="49.5703125" style="1" customWidth="1"/>
    <col min="2" max="2" width="22.5703125" style="1" bestFit="1" customWidth="1"/>
    <col min="3" max="3" width="21.140625" style="1" customWidth="1"/>
    <col min="4" max="4" width="10.85546875" style="1" customWidth="1"/>
    <col min="5" max="5" width="24.5703125" style="1" hidden="1" customWidth="1"/>
    <col min="6" max="6" width="9" style="1" hidden="1" customWidth="1"/>
    <col min="7" max="7" width="31.42578125" style="1" customWidth="1"/>
    <col min="8" max="8" width="15.85546875" style="1" customWidth="1"/>
    <col min="9" max="16384" width="11.42578125" style="1"/>
  </cols>
  <sheetData>
    <row r="1" spans="1:9" x14ac:dyDescent="0.15">
      <c r="A1" s="1" t="s">
        <v>0</v>
      </c>
      <c r="B1" s="1" t="s">
        <v>84</v>
      </c>
      <c r="C1" s="1" t="s">
        <v>85</v>
      </c>
      <c r="D1" s="1" t="s">
        <v>6</v>
      </c>
      <c r="E1" s="1" t="s">
        <v>7</v>
      </c>
      <c r="F1" s="1" t="s">
        <v>3</v>
      </c>
      <c r="G1" s="1" t="s">
        <v>4</v>
      </c>
      <c r="H1" s="1" t="s">
        <v>847</v>
      </c>
      <c r="I1" s="1" t="s">
        <v>848</v>
      </c>
    </row>
    <row r="2" spans="1:9" x14ac:dyDescent="0.15">
      <c r="A2" s="1" t="s">
        <v>86</v>
      </c>
      <c r="B2" s="1" t="s">
        <v>87</v>
      </c>
      <c r="C2" s="1" t="s">
        <v>88</v>
      </c>
      <c r="D2" s="1" t="s">
        <v>14</v>
      </c>
      <c r="E2" s="1" t="s">
        <v>15</v>
      </c>
      <c r="F2" s="1" t="s">
        <v>89</v>
      </c>
      <c r="G2" s="1" t="s">
        <v>91</v>
      </c>
    </row>
    <row r="3" spans="1:9" x14ac:dyDescent="0.15">
      <c r="A3" s="1" t="s">
        <v>92</v>
      </c>
      <c r="B3" s="1" t="s">
        <v>93</v>
      </c>
      <c r="C3" s="1" t="s">
        <v>94</v>
      </c>
      <c r="D3" s="1" t="s">
        <v>14</v>
      </c>
      <c r="E3" s="1" t="s">
        <v>15</v>
      </c>
      <c r="F3" s="1" t="s">
        <v>89</v>
      </c>
      <c r="G3" s="1" t="s">
        <v>91</v>
      </c>
    </row>
    <row r="4" spans="1:9" x14ac:dyDescent="0.15">
      <c r="A4" s="1" t="s">
        <v>95</v>
      </c>
      <c r="B4" s="1" t="s">
        <v>93</v>
      </c>
      <c r="C4" s="1" t="s">
        <v>94</v>
      </c>
      <c r="D4" s="1" t="s">
        <v>14</v>
      </c>
      <c r="E4" s="1" t="s">
        <v>15</v>
      </c>
      <c r="F4" s="1" t="s">
        <v>89</v>
      </c>
      <c r="G4" s="1" t="s">
        <v>91</v>
      </c>
    </row>
    <row r="5" spans="1:9" x14ac:dyDescent="0.15">
      <c r="A5" s="1" t="s">
        <v>96</v>
      </c>
      <c r="B5" s="1" t="s">
        <v>97</v>
      </c>
      <c r="C5" s="1" t="s">
        <v>98</v>
      </c>
      <c r="D5" s="1" t="s">
        <v>14</v>
      </c>
      <c r="E5" s="1" t="s">
        <v>15</v>
      </c>
      <c r="F5" s="1" t="s">
        <v>89</v>
      </c>
      <c r="G5" s="1" t="s">
        <v>91</v>
      </c>
    </row>
    <row r="6" spans="1:9" x14ac:dyDescent="0.15">
      <c r="A6" s="1" t="s">
        <v>99</v>
      </c>
      <c r="B6" s="1" t="s">
        <v>93</v>
      </c>
      <c r="C6" s="1" t="s">
        <v>94</v>
      </c>
      <c r="D6" s="1" t="s">
        <v>14</v>
      </c>
      <c r="E6" s="1" t="s">
        <v>15</v>
      </c>
      <c r="F6" s="1" t="s">
        <v>89</v>
      </c>
      <c r="G6" s="1" t="s">
        <v>91</v>
      </c>
    </row>
    <row r="7" spans="1:9" x14ac:dyDescent="0.15">
      <c r="A7" s="1" t="s">
        <v>100</v>
      </c>
      <c r="B7" s="1" t="s">
        <v>101</v>
      </c>
      <c r="C7" s="1" t="s">
        <v>88</v>
      </c>
      <c r="D7" s="1" t="s">
        <v>14</v>
      </c>
      <c r="E7" s="1" t="s">
        <v>15</v>
      </c>
      <c r="F7" s="1" t="s">
        <v>89</v>
      </c>
      <c r="G7" s="1" t="s">
        <v>91</v>
      </c>
    </row>
    <row r="8" spans="1:9" x14ac:dyDescent="0.15">
      <c r="A8" s="1" t="s">
        <v>102</v>
      </c>
      <c r="B8" s="1" t="s">
        <v>103</v>
      </c>
      <c r="C8" s="1" t="s">
        <v>104</v>
      </c>
      <c r="D8" s="1" t="s">
        <v>14</v>
      </c>
      <c r="E8" s="1" t="s">
        <v>15</v>
      </c>
      <c r="F8" s="1" t="s">
        <v>89</v>
      </c>
      <c r="G8" s="1" t="s">
        <v>91</v>
      </c>
    </row>
    <row r="9" spans="1:9" x14ac:dyDescent="0.15">
      <c r="A9" s="1" t="s">
        <v>105</v>
      </c>
      <c r="B9" s="1" t="s">
        <v>93</v>
      </c>
      <c r="C9" s="1" t="s">
        <v>94</v>
      </c>
      <c r="D9" s="1" t="s">
        <v>14</v>
      </c>
      <c r="E9" s="1" t="s">
        <v>15</v>
      </c>
      <c r="F9" s="1" t="s">
        <v>89</v>
      </c>
      <c r="G9" s="1" t="s">
        <v>91</v>
      </c>
    </row>
    <row r="10" spans="1:9" x14ac:dyDescent="0.15">
      <c r="A10" s="1" t="s">
        <v>106</v>
      </c>
      <c r="B10" s="1" t="s">
        <v>93</v>
      </c>
      <c r="C10" s="1" t="s">
        <v>94</v>
      </c>
      <c r="D10" s="1" t="s">
        <v>14</v>
      </c>
      <c r="E10" s="1" t="s">
        <v>15</v>
      </c>
      <c r="F10" s="1" t="s">
        <v>89</v>
      </c>
      <c r="G10" s="1" t="s">
        <v>91</v>
      </c>
    </row>
    <row r="11" spans="1:9" x14ac:dyDescent="0.15">
      <c r="A11" s="1" t="s">
        <v>107</v>
      </c>
      <c r="B11" s="1" t="s">
        <v>93</v>
      </c>
      <c r="C11" s="1" t="s">
        <v>104</v>
      </c>
      <c r="D11" s="1" t="s">
        <v>14</v>
      </c>
      <c r="E11" s="1" t="s">
        <v>15</v>
      </c>
      <c r="F11" s="1" t="s">
        <v>89</v>
      </c>
      <c r="G11" s="1" t="s">
        <v>91</v>
      </c>
    </row>
    <row r="12" spans="1:9" x14ac:dyDescent="0.15">
      <c r="A12" s="1" t="s">
        <v>108</v>
      </c>
      <c r="B12" s="1" t="s">
        <v>93</v>
      </c>
      <c r="C12" s="1" t="s">
        <v>94</v>
      </c>
      <c r="D12" s="1" t="s">
        <v>14</v>
      </c>
      <c r="E12" s="1" t="s">
        <v>15</v>
      </c>
      <c r="F12" s="1" t="s">
        <v>89</v>
      </c>
      <c r="G12" s="1" t="s">
        <v>91</v>
      </c>
    </row>
    <row r="13" spans="1:9" x14ac:dyDescent="0.15">
      <c r="A13" s="1" t="s">
        <v>109</v>
      </c>
      <c r="B13" s="1" t="s">
        <v>93</v>
      </c>
      <c r="C13" s="1" t="s">
        <v>98</v>
      </c>
      <c r="D13" s="1" t="s">
        <v>14</v>
      </c>
      <c r="E13" s="1" t="s">
        <v>15</v>
      </c>
      <c r="F13" s="1" t="s">
        <v>89</v>
      </c>
      <c r="G13" s="1" t="s">
        <v>91</v>
      </c>
    </row>
    <row r="14" spans="1:9" x14ac:dyDescent="0.15">
      <c r="A14" s="1" t="s">
        <v>110</v>
      </c>
      <c r="B14" s="1" t="s">
        <v>93</v>
      </c>
      <c r="C14" s="1" t="s">
        <v>98</v>
      </c>
      <c r="D14" s="1" t="s">
        <v>14</v>
      </c>
      <c r="E14" s="1" t="s">
        <v>15</v>
      </c>
      <c r="F14" s="1" t="s">
        <v>89</v>
      </c>
      <c r="G14" s="1" t="s">
        <v>91</v>
      </c>
    </row>
    <row r="15" spans="1:9" x14ac:dyDescent="0.15">
      <c r="A15" s="1" t="s">
        <v>111</v>
      </c>
      <c r="B15" s="1" t="s">
        <v>93</v>
      </c>
      <c r="C15" s="1" t="s">
        <v>104</v>
      </c>
      <c r="D15" s="1" t="s">
        <v>14</v>
      </c>
      <c r="E15" s="1" t="s">
        <v>15</v>
      </c>
      <c r="F15" s="1" t="s">
        <v>89</v>
      </c>
      <c r="G15" s="1" t="s">
        <v>91</v>
      </c>
    </row>
    <row r="16" spans="1:9" x14ac:dyDescent="0.15">
      <c r="A16" s="1" t="s">
        <v>112</v>
      </c>
      <c r="B16" s="1" t="s">
        <v>93</v>
      </c>
      <c r="C16" s="1" t="s">
        <v>98</v>
      </c>
      <c r="D16" s="1" t="s">
        <v>14</v>
      </c>
      <c r="E16" s="1" t="s">
        <v>15</v>
      </c>
      <c r="F16" s="1" t="s">
        <v>89</v>
      </c>
      <c r="G16" s="1" t="s">
        <v>91</v>
      </c>
    </row>
    <row r="17" spans="1:7" x14ac:dyDescent="0.15">
      <c r="A17" s="1" t="s">
        <v>113</v>
      </c>
      <c r="B17" s="1" t="s">
        <v>93</v>
      </c>
      <c r="C17" s="1" t="s">
        <v>104</v>
      </c>
      <c r="D17" s="1" t="s">
        <v>14</v>
      </c>
      <c r="E17" s="1" t="s">
        <v>15</v>
      </c>
      <c r="F17" s="1" t="s">
        <v>89</v>
      </c>
      <c r="G17" s="1" t="s">
        <v>91</v>
      </c>
    </row>
    <row r="18" spans="1:7" x14ac:dyDescent="0.15">
      <c r="A18" s="1" t="s">
        <v>114</v>
      </c>
      <c r="B18" s="1" t="s">
        <v>93</v>
      </c>
      <c r="C18" s="1" t="s">
        <v>94</v>
      </c>
      <c r="D18" s="1" t="s">
        <v>14</v>
      </c>
      <c r="E18" s="1" t="s">
        <v>15</v>
      </c>
      <c r="F18" s="1" t="s">
        <v>89</v>
      </c>
      <c r="G18" s="1" t="s">
        <v>91</v>
      </c>
    </row>
    <row r="19" spans="1:7" x14ac:dyDescent="0.15">
      <c r="A19" s="1" t="s">
        <v>115</v>
      </c>
      <c r="B19" s="1" t="s">
        <v>93</v>
      </c>
      <c r="C19" s="1" t="s">
        <v>104</v>
      </c>
      <c r="D19" s="1" t="s">
        <v>14</v>
      </c>
      <c r="E19" s="1" t="s">
        <v>15</v>
      </c>
      <c r="F19" s="1" t="s">
        <v>89</v>
      </c>
      <c r="G19" s="1" t="s">
        <v>91</v>
      </c>
    </row>
    <row r="20" spans="1:7" x14ac:dyDescent="0.15">
      <c r="A20" s="1" t="s">
        <v>116</v>
      </c>
      <c r="B20" s="1" t="s">
        <v>93</v>
      </c>
      <c r="C20" s="1" t="s">
        <v>94</v>
      </c>
      <c r="D20" s="1" t="s">
        <v>14</v>
      </c>
      <c r="E20" s="1" t="s">
        <v>15</v>
      </c>
      <c r="F20" s="1" t="s">
        <v>89</v>
      </c>
      <c r="G20" s="1" t="s">
        <v>91</v>
      </c>
    </row>
    <row r="21" spans="1:7" x14ac:dyDescent="0.15">
      <c r="A21" s="1" t="s">
        <v>117</v>
      </c>
      <c r="B21" s="1" t="s">
        <v>93</v>
      </c>
      <c r="C21" s="1" t="s">
        <v>94</v>
      </c>
      <c r="D21" s="1" t="s">
        <v>14</v>
      </c>
      <c r="E21" s="1" t="s">
        <v>15</v>
      </c>
      <c r="F21" s="1" t="s">
        <v>89</v>
      </c>
      <c r="G21" s="1" t="s">
        <v>91</v>
      </c>
    </row>
    <row r="22" spans="1:7" x14ac:dyDescent="0.15">
      <c r="A22" s="1" t="s">
        <v>118</v>
      </c>
      <c r="B22" s="1" t="s">
        <v>93</v>
      </c>
      <c r="C22" s="1" t="s">
        <v>98</v>
      </c>
      <c r="D22" s="1" t="s">
        <v>14</v>
      </c>
      <c r="E22" s="1" t="s">
        <v>15</v>
      </c>
      <c r="F22" s="1" t="s">
        <v>89</v>
      </c>
      <c r="G22" s="1" t="s">
        <v>91</v>
      </c>
    </row>
    <row r="23" spans="1:7" x14ac:dyDescent="0.15">
      <c r="A23" s="1" t="s">
        <v>119</v>
      </c>
      <c r="B23" s="1" t="s">
        <v>93</v>
      </c>
      <c r="C23" s="1" t="s">
        <v>104</v>
      </c>
      <c r="D23" s="1" t="s">
        <v>14</v>
      </c>
      <c r="E23" s="1" t="s">
        <v>15</v>
      </c>
      <c r="F23" s="1" t="s">
        <v>89</v>
      </c>
      <c r="G23" s="1" t="s">
        <v>91</v>
      </c>
    </row>
    <row r="24" spans="1:7" x14ac:dyDescent="0.15">
      <c r="A24" s="1" t="s">
        <v>120</v>
      </c>
      <c r="B24" s="1" t="s">
        <v>93</v>
      </c>
      <c r="C24" s="1" t="s">
        <v>94</v>
      </c>
      <c r="D24" s="1" t="s">
        <v>14</v>
      </c>
      <c r="E24" s="1" t="s">
        <v>15</v>
      </c>
      <c r="F24" s="1" t="s">
        <v>89</v>
      </c>
      <c r="G24" s="1" t="s">
        <v>91</v>
      </c>
    </row>
    <row r="25" spans="1:7" x14ac:dyDescent="0.15">
      <c r="A25" s="1" t="s">
        <v>121</v>
      </c>
      <c r="B25" s="1" t="s">
        <v>93</v>
      </c>
      <c r="C25" s="1" t="s">
        <v>104</v>
      </c>
      <c r="D25" s="1" t="s">
        <v>14</v>
      </c>
      <c r="E25" s="1" t="s">
        <v>15</v>
      </c>
      <c r="F25" s="1" t="s">
        <v>89</v>
      </c>
      <c r="G25" s="1" t="s">
        <v>91</v>
      </c>
    </row>
    <row r="26" spans="1:7" x14ac:dyDescent="0.15">
      <c r="A26" s="1" t="s">
        <v>122</v>
      </c>
      <c r="B26" s="1" t="s">
        <v>93</v>
      </c>
      <c r="C26" s="1" t="s">
        <v>104</v>
      </c>
      <c r="D26" s="1" t="s">
        <v>14</v>
      </c>
      <c r="E26" s="1" t="s">
        <v>15</v>
      </c>
      <c r="F26" s="1" t="s">
        <v>89</v>
      </c>
      <c r="G26" s="1" t="s">
        <v>91</v>
      </c>
    </row>
    <row r="27" spans="1:7" x14ac:dyDescent="0.15">
      <c r="A27" s="1" t="s">
        <v>123</v>
      </c>
      <c r="B27" s="1" t="s">
        <v>93</v>
      </c>
      <c r="C27" s="1" t="s">
        <v>104</v>
      </c>
      <c r="D27" s="1" t="s">
        <v>14</v>
      </c>
      <c r="E27" s="1" t="s">
        <v>15</v>
      </c>
      <c r="F27" s="1" t="s">
        <v>89</v>
      </c>
      <c r="G27" s="1" t="s">
        <v>91</v>
      </c>
    </row>
    <row r="28" spans="1:7" x14ac:dyDescent="0.15">
      <c r="A28" s="1" t="s">
        <v>124</v>
      </c>
      <c r="B28" s="1" t="s">
        <v>93</v>
      </c>
      <c r="C28" s="1" t="s">
        <v>104</v>
      </c>
      <c r="D28" s="1" t="s">
        <v>14</v>
      </c>
      <c r="E28" s="1" t="s">
        <v>15</v>
      </c>
      <c r="F28" s="1" t="s">
        <v>89</v>
      </c>
      <c r="G28" s="1" t="s">
        <v>91</v>
      </c>
    </row>
    <row r="29" spans="1:7" x14ac:dyDescent="0.15">
      <c r="A29" s="1" t="s">
        <v>125</v>
      </c>
      <c r="B29" s="1" t="s">
        <v>93</v>
      </c>
      <c r="C29" s="1" t="s">
        <v>104</v>
      </c>
      <c r="D29" s="1" t="s">
        <v>14</v>
      </c>
      <c r="E29" s="1" t="s">
        <v>15</v>
      </c>
      <c r="F29" s="1" t="s">
        <v>89</v>
      </c>
      <c r="G29" s="1" t="s">
        <v>91</v>
      </c>
    </row>
    <row r="30" spans="1:7" x14ac:dyDescent="0.15">
      <c r="A30" s="1" t="s">
        <v>126</v>
      </c>
      <c r="B30" s="1" t="s">
        <v>93</v>
      </c>
      <c r="C30" s="1" t="s">
        <v>94</v>
      </c>
      <c r="D30" s="1" t="s">
        <v>14</v>
      </c>
      <c r="E30" s="1" t="s">
        <v>15</v>
      </c>
      <c r="F30" s="1" t="s">
        <v>89</v>
      </c>
      <c r="G30" s="1" t="s">
        <v>91</v>
      </c>
    </row>
    <row r="31" spans="1:7" x14ac:dyDescent="0.15">
      <c r="A31" s="1" t="s">
        <v>127</v>
      </c>
      <c r="B31" s="1" t="s">
        <v>128</v>
      </c>
      <c r="C31" s="1" t="s">
        <v>104</v>
      </c>
      <c r="D31" s="1" t="s">
        <v>14</v>
      </c>
      <c r="E31" s="1" t="s">
        <v>15</v>
      </c>
      <c r="F31" s="1" t="s">
        <v>89</v>
      </c>
      <c r="G31" s="1" t="s">
        <v>91</v>
      </c>
    </row>
    <row r="32" spans="1:7" x14ac:dyDescent="0.15">
      <c r="A32" s="1" t="s">
        <v>129</v>
      </c>
      <c r="B32" s="1" t="s">
        <v>130</v>
      </c>
      <c r="C32" s="1" t="s">
        <v>131</v>
      </c>
      <c r="D32" s="1" t="s">
        <v>14</v>
      </c>
      <c r="E32" s="1" t="s">
        <v>15</v>
      </c>
      <c r="F32" s="1" t="s">
        <v>89</v>
      </c>
      <c r="G32" s="1" t="s">
        <v>91</v>
      </c>
    </row>
    <row r="33" spans="1:9" x14ac:dyDescent="0.15">
      <c r="A33" s="1" t="s">
        <v>132</v>
      </c>
      <c r="B33" s="1" t="s">
        <v>133</v>
      </c>
      <c r="C33" s="1" t="s">
        <v>98</v>
      </c>
      <c r="D33" s="1" t="s">
        <v>14</v>
      </c>
      <c r="E33" s="1" t="s">
        <v>15</v>
      </c>
      <c r="F33" s="1" t="s">
        <v>89</v>
      </c>
      <c r="G33" s="1" t="s">
        <v>91</v>
      </c>
    </row>
    <row r="34" spans="1:9" x14ac:dyDescent="0.15">
      <c r="A34" s="1" t="s">
        <v>134</v>
      </c>
      <c r="B34" s="1" t="s">
        <v>133</v>
      </c>
      <c r="C34" s="1" t="s">
        <v>98</v>
      </c>
      <c r="D34" s="1" t="s">
        <v>14</v>
      </c>
      <c r="E34" s="1" t="s">
        <v>15</v>
      </c>
      <c r="F34" s="1" t="s">
        <v>89</v>
      </c>
      <c r="G34" s="1" t="s">
        <v>91</v>
      </c>
    </row>
    <row r="35" spans="1:9" x14ac:dyDescent="0.15">
      <c r="A35" s="1" t="s">
        <v>135</v>
      </c>
      <c r="B35" s="1" t="s">
        <v>133</v>
      </c>
      <c r="C35" s="1" t="s">
        <v>98</v>
      </c>
      <c r="D35" s="1" t="s">
        <v>14</v>
      </c>
      <c r="E35" s="1" t="s">
        <v>15</v>
      </c>
      <c r="F35" s="1" t="s">
        <v>89</v>
      </c>
      <c r="G35" s="1" t="s">
        <v>91</v>
      </c>
    </row>
    <row r="36" spans="1:9" x14ac:dyDescent="0.15">
      <c r="A36" s="1" t="s">
        <v>136</v>
      </c>
      <c r="B36" s="1" t="s">
        <v>87</v>
      </c>
      <c r="C36" s="1" t="s">
        <v>104</v>
      </c>
      <c r="D36" s="1" t="s">
        <v>14</v>
      </c>
      <c r="E36" s="1" t="s">
        <v>15</v>
      </c>
      <c r="F36" s="1" t="s">
        <v>89</v>
      </c>
      <c r="G36" s="1" t="s">
        <v>91</v>
      </c>
    </row>
    <row r="37" spans="1:9" x14ac:dyDescent="0.15">
      <c r="A37" s="1" t="s">
        <v>137</v>
      </c>
      <c r="B37" s="1" t="s">
        <v>138</v>
      </c>
      <c r="C37" s="1" t="s">
        <v>88</v>
      </c>
      <c r="D37" s="1" t="s">
        <v>14</v>
      </c>
      <c r="E37" s="1" t="s">
        <v>15</v>
      </c>
      <c r="F37" s="1" t="s">
        <v>89</v>
      </c>
      <c r="G37" s="1" t="s">
        <v>91</v>
      </c>
    </row>
    <row r="38" spans="1:9" x14ac:dyDescent="0.15">
      <c r="A38" s="1" t="s">
        <v>139</v>
      </c>
      <c r="B38" s="1" t="s">
        <v>140</v>
      </c>
      <c r="C38" s="1" t="s">
        <v>94</v>
      </c>
      <c r="D38" s="1" t="s">
        <v>14</v>
      </c>
      <c r="E38" s="1" t="s">
        <v>15</v>
      </c>
      <c r="F38" s="1" t="s">
        <v>89</v>
      </c>
      <c r="G38" s="1" t="s">
        <v>91</v>
      </c>
    </row>
    <row r="39" spans="1:9" x14ac:dyDescent="0.15">
      <c r="A39" s="1" t="s">
        <v>141</v>
      </c>
      <c r="B39" s="1" t="s">
        <v>87</v>
      </c>
      <c r="C39" s="1" t="s">
        <v>98</v>
      </c>
      <c r="D39" s="1" t="s">
        <v>14</v>
      </c>
      <c r="E39" s="1" t="s">
        <v>15</v>
      </c>
      <c r="F39" s="1" t="s">
        <v>89</v>
      </c>
      <c r="G39" s="1" t="s">
        <v>91</v>
      </c>
    </row>
    <row r="40" spans="1:9" x14ac:dyDescent="0.15">
      <c r="A40" s="1" t="s">
        <v>142</v>
      </c>
      <c r="B40" s="1" t="s">
        <v>143</v>
      </c>
      <c r="C40" s="1" t="s">
        <v>88</v>
      </c>
      <c r="D40" s="1" t="s">
        <v>14</v>
      </c>
      <c r="E40" s="1" t="s">
        <v>15</v>
      </c>
      <c r="F40" s="1" t="s">
        <v>89</v>
      </c>
      <c r="G40" s="1" t="s">
        <v>91</v>
      </c>
    </row>
    <row r="41" spans="1:9" x14ac:dyDescent="0.15">
      <c r="A41" s="1" t="s">
        <v>144</v>
      </c>
      <c r="B41" s="1" t="s">
        <v>93</v>
      </c>
      <c r="C41" s="1" t="s">
        <v>104</v>
      </c>
      <c r="D41" s="1" t="s">
        <v>14</v>
      </c>
      <c r="E41" s="1" t="s">
        <v>15</v>
      </c>
      <c r="F41" s="1" t="s">
        <v>89</v>
      </c>
      <c r="G41" s="1" t="s">
        <v>91</v>
      </c>
    </row>
    <row r="42" spans="1:9" x14ac:dyDescent="0.15">
      <c r="A42" s="1" t="s">
        <v>145</v>
      </c>
      <c r="B42" s="1" t="s">
        <v>93</v>
      </c>
      <c r="C42" s="1" t="s">
        <v>104</v>
      </c>
      <c r="D42" s="1" t="s">
        <v>14</v>
      </c>
      <c r="E42" s="1" t="s">
        <v>15</v>
      </c>
      <c r="F42" s="1" t="s">
        <v>89</v>
      </c>
      <c r="G42" s="1" t="s">
        <v>91</v>
      </c>
    </row>
    <row r="43" spans="1:9" x14ac:dyDescent="0.15">
      <c r="A43" s="1" t="s">
        <v>146</v>
      </c>
      <c r="B43" s="1" t="s">
        <v>93</v>
      </c>
      <c r="C43" s="1" t="s">
        <v>104</v>
      </c>
      <c r="D43" s="1" t="s">
        <v>14</v>
      </c>
      <c r="E43" s="1" t="s">
        <v>15</v>
      </c>
      <c r="F43" s="1" t="s">
        <v>89</v>
      </c>
      <c r="G43" s="1" t="s">
        <v>91</v>
      </c>
    </row>
    <row r="44" spans="1:9" x14ac:dyDescent="0.15">
      <c r="A44" s="1" t="s">
        <v>147</v>
      </c>
      <c r="B44" s="1" t="s">
        <v>143</v>
      </c>
      <c r="C44" s="1" t="s">
        <v>94</v>
      </c>
      <c r="D44" s="1" t="s">
        <v>14</v>
      </c>
      <c r="E44" s="1" t="s">
        <v>15</v>
      </c>
      <c r="F44" s="1" t="s">
        <v>89</v>
      </c>
      <c r="G44" s="1" t="s">
        <v>91</v>
      </c>
    </row>
    <row r="45" spans="1:9" x14ac:dyDescent="0.15">
      <c r="A45" s="1" t="s">
        <v>148</v>
      </c>
      <c r="B45" s="1" t="s">
        <v>93</v>
      </c>
      <c r="C45" s="1" t="s">
        <v>104</v>
      </c>
      <c r="D45" s="1" t="s">
        <v>14</v>
      </c>
      <c r="E45" s="1" t="s">
        <v>15</v>
      </c>
      <c r="F45" s="1" t="s">
        <v>89</v>
      </c>
      <c r="G45" s="1" t="s">
        <v>91</v>
      </c>
    </row>
    <row r="46" spans="1:9" x14ac:dyDescent="0.15">
      <c r="A46" s="1" t="s">
        <v>149</v>
      </c>
      <c r="B46" s="1" t="s">
        <v>150</v>
      </c>
      <c r="C46" s="1" t="s">
        <v>151</v>
      </c>
      <c r="D46" s="1" t="s">
        <v>14</v>
      </c>
      <c r="E46" s="1" t="s">
        <v>15</v>
      </c>
      <c r="F46" s="1" t="s">
        <v>89</v>
      </c>
      <c r="G46" s="1" t="s">
        <v>153</v>
      </c>
      <c r="H46" s="5">
        <v>1202.3</v>
      </c>
      <c r="I46" s="5">
        <v>694.42</v>
      </c>
    </row>
    <row r="47" spans="1:9" x14ac:dyDescent="0.15">
      <c r="A47" s="1" t="s">
        <v>154</v>
      </c>
      <c r="B47" s="1" t="s">
        <v>93</v>
      </c>
      <c r="C47" s="1" t="s">
        <v>94</v>
      </c>
      <c r="D47" s="1" t="s">
        <v>14</v>
      </c>
      <c r="E47" s="1" t="s">
        <v>15</v>
      </c>
      <c r="F47" s="1" t="s">
        <v>89</v>
      </c>
      <c r="G47" s="1" t="s">
        <v>91</v>
      </c>
    </row>
    <row r="48" spans="1:9" x14ac:dyDescent="0.15">
      <c r="A48" s="1" t="s">
        <v>155</v>
      </c>
      <c r="B48" s="1" t="s">
        <v>130</v>
      </c>
      <c r="C48" s="1" t="s">
        <v>98</v>
      </c>
      <c r="D48" s="1" t="s">
        <v>14</v>
      </c>
      <c r="E48" s="1" t="s">
        <v>15</v>
      </c>
      <c r="F48" s="1" t="s">
        <v>89</v>
      </c>
      <c r="G48" s="1" t="s">
        <v>91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3D5D6-3DF4-4531-B35C-0B1FDDD15297}">
  <dimension ref="A1:F9"/>
  <sheetViews>
    <sheetView showGridLines="0" workbookViewId="0">
      <selection activeCell="D23" sqref="D23"/>
    </sheetView>
  </sheetViews>
  <sheetFormatPr baseColWidth="10" defaultRowHeight="15" x14ac:dyDescent="0.25"/>
  <cols>
    <col min="1" max="1" width="25.5703125" bestFit="1" customWidth="1"/>
    <col min="2" max="2" width="16" customWidth="1"/>
    <col min="3" max="3" width="27.7109375" customWidth="1"/>
    <col min="4" max="4" width="19" customWidth="1"/>
    <col min="5" max="5" width="12.28515625" customWidth="1"/>
    <col min="6" max="6" width="23.7109375" bestFit="1" customWidth="1"/>
  </cols>
  <sheetData>
    <row r="1" spans="1:6" x14ac:dyDescent="0.25">
      <c r="A1" s="1" t="s">
        <v>0</v>
      </c>
      <c r="B1" s="1" t="s">
        <v>4</v>
      </c>
      <c r="C1" s="1" t="s">
        <v>7</v>
      </c>
      <c r="D1" s="1" t="s">
        <v>5</v>
      </c>
      <c r="E1" s="1" t="s">
        <v>6</v>
      </c>
      <c r="F1" s="1" t="s">
        <v>156</v>
      </c>
    </row>
    <row r="2" spans="1:6" x14ac:dyDescent="0.25">
      <c r="A2" s="1" t="s">
        <v>157</v>
      </c>
      <c r="B2" s="1" t="s">
        <v>158</v>
      </c>
      <c r="C2" s="1" t="s">
        <v>15</v>
      </c>
      <c r="D2" s="1" t="s">
        <v>19</v>
      </c>
      <c r="E2" s="1" t="s">
        <v>14</v>
      </c>
      <c r="F2" s="1" t="s">
        <v>159</v>
      </c>
    </row>
    <row r="3" spans="1:6" x14ac:dyDescent="0.25">
      <c r="A3" s="1" t="s">
        <v>160</v>
      </c>
      <c r="B3" s="1" t="s">
        <v>158</v>
      </c>
      <c r="C3" s="1" t="s">
        <v>15</v>
      </c>
      <c r="D3" s="1" t="s">
        <v>13</v>
      </c>
      <c r="E3" s="1" t="s">
        <v>14</v>
      </c>
      <c r="F3" s="1" t="s">
        <v>159</v>
      </c>
    </row>
    <row r="4" spans="1:6" x14ac:dyDescent="0.25">
      <c r="A4" s="1" t="s">
        <v>161</v>
      </c>
      <c r="B4" s="1" t="s">
        <v>158</v>
      </c>
      <c r="C4" s="1" t="s">
        <v>15</v>
      </c>
      <c r="D4" s="1" t="s">
        <v>19</v>
      </c>
      <c r="E4" s="1" t="s">
        <v>14</v>
      </c>
      <c r="F4" s="1" t="s">
        <v>159</v>
      </c>
    </row>
    <row r="5" spans="1:6" x14ac:dyDescent="0.25">
      <c r="A5" s="1" t="s">
        <v>162</v>
      </c>
      <c r="B5" s="1" t="s">
        <v>158</v>
      </c>
      <c r="C5" s="1" t="s">
        <v>15</v>
      </c>
      <c r="D5" s="1" t="s">
        <v>163</v>
      </c>
      <c r="E5" s="1" t="s">
        <v>14</v>
      </c>
      <c r="F5" s="1" t="s">
        <v>159</v>
      </c>
    </row>
    <row r="6" spans="1:6" x14ac:dyDescent="0.25">
      <c r="A6" s="1" t="s">
        <v>164</v>
      </c>
      <c r="B6" s="1" t="s">
        <v>158</v>
      </c>
      <c r="C6" s="1" t="s">
        <v>15</v>
      </c>
      <c r="D6" s="1" t="s">
        <v>165</v>
      </c>
      <c r="E6" s="1" t="s">
        <v>14</v>
      </c>
      <c r="F6" s="1" t="s">
        <v>159</v>
      </c>
    </row>
    <row r="7" spans="1:6" x14ac:dyDescent="0.25">
      <c r="A7" s="1" t="s">
        <v>166</v>
      </c>
      <c r="B7" s="1" t="s">
        <v>158</v>
      </c>
      <c r="C7" s="1" t="s">
        <v>15</v>
      </c>
      <c r="D7" s="1" t="s">
        <v>167</v>
      </c>
      <c r="E7" s="1" t="s">
        <v>14</v>
      </c>
      <c r="F7" s="1" t="s">
        <v>159</v>
      </c>
    </row>
    <row r="8" spans="1:6" x14ac:dyDescent="0.25">
      <c r="A8" s="1" t="s">
        <v>168</v>
      </c>
      <c r="B8" s="1" t="s">
        <v>158</v>
      </c>
      <c r="C8" s="1" t="s">
        <v>15</v>
      </c>
      <c r="D8" s="1" t="s">
        <v>169</v>
      </c>
      <c r="E8" s="1" t="s">
        <v>14</v>
      </c>
      <c r="F8" s="1" t="s">
        <v>159</v>
      </c>
    </row>
    <row r="9" spans="1:6" x14ac:dyDescent="0.25">
      <c r="A9" s="1" t="s">
        <v>170</v>
      </c>
      <c r="B9" s="1" t="s">
        <v>158</v>
      </c>
      <c r="C9" s="1" t="s">
        <v>15</v>
      </c>
      <c r="D9" s="1" t="s">
        <v>171</v>
      </c>
      <c r="E9" s="1" t="s">
        <v>14</v>
      </c>
      <c r="F9" s="1" t="s">
        <v>159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9432E-2281-435F-B969-22E238EF296D}">
  <dimension ref="A1:I6"/>
  <sheetViews>
    <sheetView showGridLines="0" workbookViewId="0">
      <selection activeCell="B16" sqref="B16"/>
    </sheetView>
  </sheetViews>
  <sheetFormatPr baseColWidth="10" defaultRowHeight="15" x14ac:dyDescent="0.25"/>
  <cols>
    <col min="1" max="1" width="43.42578125" bestFit="1" customWidth="1"/>
    <col min="2" max="2" width="21.7109375" customWidth="1"/>
    <col min="4" max="4" width="9.140625" bestFit="1" customWidth="1"/>
    <col min="5" max="5" width="17" customWidth="1"/>
    <col min="7" max="7" width="17.7109375" customWidth="1"/>
  </cols>
  <sheetData>
    <row r="1" spans="1:9" x14ac:dyDescent="0.25">
      <c r="A1" s="1" t="s">
        <v>0</v>
      </c>
      <c r="B1" s="1" t="s">
        <v>172</v>
      </c>
      <c r="C1" s="1" t="s">
        <v>173</v>
      </c>
      <c r="D1" s="1" t="s">
        <v>174</v>
      </c>
      <c r="E1" s="1" t="s">
        <v>5</v>
      </c>
      <c r="F1" s="1" t="s">
        <v>6</v>
      </c>
      <c r="G1" s="1" t="s">
        <v>847</v>
      </c>
      <c r="I1" s="4" t="s">
        <v>849</v>
      </c>
    </row>
    <row r="2" spans="1:9" x14ac:dyDescent="0.25">
      <c r="A2" s="1" t="s">
        <v>175</v>
      </c>
      <c r="B2" s="1" t="s">
        <v>176</v>
      </c>
      <c r="C2" s="1">
        <v>128</v>
      </c>
      <c r="D2" s="1" t="s">
        <v>177</v>
      </c>
      <c r="E2" s="1" t="s">
        <v>178</v>
      </c>
      <c r="F2" s="1" t="s">
        <v>14</v>
      </c>
      <c r="G2" s="5">
        <v>9.8000000000000007</v>
      </c>
      <c r="I2" s="15">
        <v>5.94</v>
      </c>
    </row>
    <row r="3" spans="1:9" ht="15.75" thickBot="1" x14ac:dyDescent="0.3">
      <c r="A3" s="1" t="s">
        <v>179</v>
      </c>
      <c r="B3" s="1" t="s">
        <v>176</v>
      </c>
      <c r="C3" s="1">
        <v>30</v>
      </c>
      <c r="D3" s="1" t="s">
        <v>177</v>
      </c>
      <c r="E3" s="1" t="s">
        <v>178</v>
      </c>
      <c r="F3" s="1" t="s">
        <v>14</v>
      </c>
      <c r="G3" s="5">
        <v>2.6</v>
      </c>
      <c r="I3" s="10">
        <v>1.59</v>
      </c>
    </row>
    <row r="4" spans="1:9" ht="15.75" thickTop="1" x14ac:dyDescent="0.25">
      <c r="A4" s="1"/>
      <c r="B4" s="1"/>
      <c r="C4" s="1"/>
      <c r="D4" s="1"/>
      <c r="E4" s="1"/>
      <c r="F4" s="1"/>
      <c r="G4" s="5">
        <f>SUM(G2:G3)</f>
        <v>12.4</v>
      </c>
      <c r="I4" s="11">
        <f>SUM(I2:I3)</f>
        <v>7.53</v>
      </c>
    </row>
    <row r="6" spans="1:9" x14ac:dyDescent="0.25">
      <c r="I6" s="17">
        <f>+Tabla4[[#Totals],[PVP Aprox Mensual]]-I4</f>
        <v>4.87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6AA09-4498-4F3F-BA46-D36D4573B8DE}">
  <dimension ref="A1:G6"/>
  <sheetViews>
    <sheetView showGridLines="0" workbookViewId="0">
      <selection activeCell="F20" sqref="F20"/>
    </sheetView>
  </sheetViews>
  <sheetFormatPr baseColWidth="10" defaultRowHeight="15" x14ac:dyDescent="0.25"/>
  <cols>
    <col min="1" max="1" width="15.85546875" customWidth="1"/>
    <col min="2" max="2" width="14.5703125" customWidth="1"/>
    <col min="3" max="3" width="14.85546875" customWidth="1"/>
    <col min="4" max="4" width="24.5703125" bestFit="1" customWidth="1"/>
    <col min="5" max="5" width="19" customWidth="1"/>
    <col min="7" max="7" width="12.28515625" customWidth="1"/>
  </cols>
  <sheetData>
    <row r="1" spans="1:7" x14ac:dyDescent="0.25">
      <c r="A1" s="1" t="s">
        <v>0</v>
      </c>
      <c r="B1" s="1" t="s">
        <v>85</v>
      </c>
      <c r="C1" s="1" t="s">
        <v>180</v>
      </c>
      <c r="D1" s="1" t="s">
        <v>7</v>
      </c>
      <c r="E1" s="1" t="s">
        <v>5</v>
      </c>
      <c r="F1" s="1" t="s">
        <v>2</v>
      </c>
      <c r="G1" s="1" t="s">
        <v>6</v>
      </c>
    </row>
    <row r="2" spans="1:7" x14ac:dyDescent="0.25">
      <c r="A2" s="1" t="s">
        <v>181</v>
      </c>
      <c r="B2" s="1" t="s">
        <v>182</v>
      </c>
      <c r="C2" s="1" t="s">
        <v>183</v>
      </c>
      <c r="D2" s="1" t="s">
        <v>15</v>
      </c>
      <c r="E2" s="1" t="s">
        <v>184</v>
      </c>
      <c r="F2" s="1" t="s">
        <v>185</v>
      </c>
      <c r="G2" s="1" t="s">
        <v>186</v>
      </c>
    </row>
    <row r="3" spans="1:7" x14ac:dyDescent="0.25">
      <c r="A3" s="1" t="s">
        <v>187</v>
      </c>
      <c r="B3" s="1" t="s">
        <v>182</v>
      </c>
      <c r="C3" s="1" t="s">
        <v>183</v>
      </c>
      <c r="D3" s="1" t="s">
        <v>15</v>
      </c>
      <c r="E3" s="1" t="s">
        <v>188</v>
      </c>
      <c r="F3" s="1" t="s">
        <v>185</v>
      </c>
      <c r="G3" s="1" t="s">
        <v>186</v>
      </c>
    </row>
    <row r="4" spans="1:7" x14ac:dyDescent="0.25">
      <c r="A4" s="1" t="s">
        <v>189</v>
      </c>
      <c r="B4" s="1" t="s">
        <v>182</v>
      </c>
      <c r="C4" s="1" t="s">
        <v>183</v>
      </c>
      <c r="D4" s="1" t="s">
        <v>15</v>
      </c>
      <c r="E4" s="1" t="s">
        <v>190</v>
      </c>
      <c r="F4" s="1" t="s">
        <v>185</v>
      </c>
      <c r="G4" s="1" t="s">
        <v>186</v>
      </c>
    </row>
    <row r="5" spans="1:7" x14ac:dyDescent="0.25">
      <c r="A5" s="1" t="s">
        <v>191</v>
      </c>
      <c r="B5" s="1" t="s">
        <v>182</v>
      </c>
      <c r="C5" s="1" t="s">
        <v>183</v>
      </c>
      <c r="D5" s="1" t="s">
        <v>15</v>
      </c>
      <c r="E5" s="1" t="s">
        <v>192</v>
      </c>
      <c r="F5" s="1" t="s">
        <v>185</v>
      </c>
      <c r="G5" s="1" t="s">
        <v>186</v>
      </c>
    </row>
    <row r="6" spans="1:7" x14ac:dyDescent="0.25">
      <c r="A6" s="1" t="s">
        <v>193</v>
      </c>
      <c r="B6" s="1" t="s">
        <v>194</v>
      </c>
      <c r="C6" s="1" t="s">
        <v>195</v>
      </c>
      <c r="D6" s="1" t="s">
        <v>15</v>
      </c>
      <c r="E6" s="1" t="s">
        <v>19</v>
      </c>
      <c r="F6" s="1" t="s">
        <v>185</v>
      </c>
      <c r="G6" s="1" t="s">
        <v>186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F5EBC-8113-47C7-BB9F-0B47287E07CF}">
  <dimension ref="A1:J10"/>
  <sheetViews>
    <sheetView showGridLines="0" workbookViewId="0">
      <selection activeCell="G17" sqref="G17"/>
    </sheetView>
  </sheetViews>
  <sheetFormatPr baseColWidth="10" defaultRowHeight="15" x14ac:dyDescent="0.25"/>
  <cols>
    <col min="2" max="2" width="19" customWidth="1"/>
    <col min="3" max="3" width="12.28515625" customWidth="1"/>
    <col min="4" max="4" width="28.42578125" customWidth="1"/>
    <col min="5" max="5" width="16.7109375" customWidth="1"/>
    <col min="6" max="6" width="17" customWidth="1"/>
    <col min="7" max="7" width="13.28515625" customWidth="1"/>
    <col min="9" max="9" width="13.28515625" bestFit="1" customWidth="1"/>
  </cols>
  <sheetData>
    <row r="1" spans="1:10" x14ac:dyDescent="0.25">
      <c r="A1" s="1" t="s">
        <v>0</v>
      </c>
      <c r="B1" s="1" t="s">
        <v>5</v>
      </c>
      <c r="C1" s="1" t="s">
        <v>6</v>
      </c>
      <c r="D1" s="1" t="s">
        <v>7</v>
      </c>
      <c r="E1" s="1" t="s">
        <v>196</v>
      </c>
      <c r="F1" s="1" t="s">
        <v>197</v>
      </c>
      <c r="G1" s="1" t="s">
        <v>198</v>
      </c>
      <c r="H1" s="1" t="s">
        <v>199</v>
      </c>
      <c r="I1" s="1" t="s">
        <v>4</v>
      </c>
      <c r="J1" s="1" t="s">
        <v>847</v>
      </c>
    </row>
    <row r="2" spans="1:10" x14ac:dyDescent="0.25">
      <c r="A2" s="1" t="s">
        <v>200</v>
      </c>
      <c r="B2" s="1" t="s">
        <v>201</v>
      </c>
      <c r="C2" s="1" t="s">
        <v>14</v>
      </c>
      <c r="D2" s="1" t="s">
        <v>15</v>
      </c>
      <c r="E2" s="1" t="s">
        <v>202</v>
      </c>
      <c r="F2" s="1" t="s">
        <v>203</v>
      </c>
      <c r="G2" s="1" t="s">
        <v>203</v>
      </c>
      <c r="H2" s="1" t="s">
        <v>204</v>
      </c>
      <c r="I2" s="1" t="s">
        <v>205</v>
      </c>
      <c r="J2" s="7">
        <v>2.92</v>
      </c>
    </row>
    <row r="3" spans="1:10" hidden="1" x14ac:dyDescent="0.25">
      <c r="A3" s="1" t="s">
        <v>206</v>
      </c>
      <c r="B3" s="1" t="s">
        <v>19</v>
      </c>
      <c r="C3" s="1" t="s">
        <v>24</v>
      </c>
      <c r="D3" s="1" t="s">
        <v>15</v>
      </c>
      <c r="E3" s="1" t="s">
        <v>202</v>
      </c>
      <c r="F3" s="1" t="s">
        <v>207</v>
      </c>
      <c r="G3" s="1" t="s">
        <v>208</v>
      </c>
      <c r="H3" s="1" t="s">
        <v>204</v>
      </c>
      <c r="I3" s="1" t="s">
        <v>205</v>
      </c>
      <c r="J3" s="1"/>
    </row>
    <row r="4" spans="1:10" hidden="1" x14ac:dyDescent="0.25">
      <c r="A4" s="1" t="s">
        <v>209</v>
      </c>
      <c r="B4" s="1" t="s">
        <v>210</v>
      </c>
      <c r="C4" s="1" t="s">
        <v>24</v>
      </c>
      <c r="D4" s="1" t="s">
        <v>15</v>
      </c>
      <c r="E4" s="1" t="s">
        <v>202</v>
      </c>
      <c r="F4" s="1" t="s">
        <v>211</v>
      </c>
      <c r="G4" s="1" t="s">
        <v>212</v>
      </c>
      <c r="H4" s="1" t="s">
        <v>204</v>
      </c>
      <c r="I4" s="1" t="s">
        <v>205</v>
      </c>
      <c r="J4" s="1"/>
    </row>
    <row r="5" spans="1:10" hidden="1" x14ac:dyDescent="0.25">
      <c r="A5" s="1" t="s">
        <v>213</v>
      </c>
      <c r="B5" s="1" t="s">
        <v>201</v>
      </c>
      <c r="C5" s="1" t="s">
        <v>14</v>
      </c>
      <c r="D5" s="1" t="s">
        <v>15</v>
      </c>
      <c r="E5" s="1" t="s">
        <v>202</v>
      </c>
      <c r="F5" s="1" t="s">
        <v>214</v>
      </c>
      <c r="G5" s="1" t="s">
        <v>215</v>
      </c>
      <c r="H5" s="1" t="s">
        <v>204</v>
      </c>
      <c r="I5" s="1" t="s">
        <v>205</v>
      </c>
      <c r="J5" s="1"/>
    </row>
    <row r="6" spans="1:10" hidden="1" x14ac:dyDescent="0.25">
      <c r="A6" s="1" t="s">
        <v>216</v>
      </c>
      <c r="B6" s="1" t="s">
        <v>167</v>
      </c>
      <c r="C6" s="1" t="s">
        <v>14</v>
      </c>
      <c r="D6" s="1" t="s">
        <v>15</v>
      </c>
      <c r="E6" s="1" t="s">
        <v>202</v>
      </c>
      <c r="F6" s="1" t="s">
        <v>217</v>
      </c>
      <c r="G6" s="1" t="s">
        <v>218</v>
      </c>
      <c r="H6" s="1" t="s">
        <v>204</v>
      </c>
      <c r="I6" s="1" t="s">
        <v>205</v>
      </c>
      <c r="J6" s="1"/>
    </row>
    <row r="7" spans="1:10" hidden="1" x14ac:dyDescent="0.25">
      <c r="A7" s="1" t="s">
        <v>219</v>
      </c>
      <c r="B7" s="1" t="s">
        <v>167</v>
      </c>
      <c r="C7" s="1" t="s">
        <v>14</v>
      </c>
      <c r="D7" s="1" t="s">
        <v>15</v>
      </c>
      <c r="E7" s="1" t="s">
        <v>202</v>
      </c>
      <c r="F7" s="1" t="s">
        <v>220</v>
      </c>
      <c r="G7" s="1" t="s">
        <v>221</v>
      </c>
      <c r="H7" s="1" t="s">
        <v>204</v>
      </c>
      <c r="I7" s="1" t="s">
        <v>205</v>
      </c>
      <c r="J7" s="1"/>
    </row>
    <row r="8" spans="1:10" hidden="1" x14ac:dyDescent="0.25">
      <c r="A8" s="1" t="s">
        <v>222</v>
      </c>
      <c r="B8" s="1" t="s">
        <v>222</v>
      </c>
      <c r="C8" s="1" t="s">
        <v>14</v>
      </c>
      <c r="D8" s="1" t="s">
        <v>15</v>
      </c>
      <c r="E8" s="1" t="s">
        <v>202</v>
      </c>
      <c r="F8" s="1" t="s">
        <v>223</v>
      </c>
      <c r="G8" s="1" t="s">
        <v>224</v>
      </c>
      <c r="H8" s="1" t="s">
        <v>204</v>
      </c>
      <c r="I8" s="1" t="s">
        <v>205</v>
      </c>
      <c r="J8" s="1"/>
    </row>
    <row r="9" spans="1:10" hidden="1" x14ac:dyDescent="0.25">
      <c r="A9" s="1" t="s">
        <v>225</v>
      </c>
      <c r="B9" s="1" t="s">
        <v>178</v>
      </c>
      <c r="C9" s="1" t="s">
        <v>14</v>
      </c>
      <c r="D9" s="1" t="s">
        <v>15</v>
      </c>
      <c r="E9" s="1" t="s">
        <v>202</v>
      </c>
      <c r="F9" s="1" t="s">
        <v>226</v>
      </c>
      <c r="G9" s="1" t="s">
        <v>227</v>
      </c>
      <c r="H9" s="1" t="s">
        <v>204</v>
      </c>
      <c r="I9" s="1" t="s">
        <v>205</v>
      </c>
      <c r="J9" s="1"/>
    </row>
    <row r="10" spans="1:10" hidden="1" x14ac:dyDescent="0.25">
      <c r="A10" s="1" t="s">
        <v>228</v>
      </c>
      <c r="B10" s="1" t="s">
        <v>19</v>
      </c>
      <c r="C10" s="1" t="s">
        <v>14</v>
      </c>
      <c r="D10" s="1" t="s">
        <v>15</v>
      </c>
      <c r="E10" s="1" t="s">
        <v>202</v>
      </c>
      <c r="F10" s="1" t="s">
        <v>229</v>
      </c>
      <c r="G10" s="1" t="s">
        <v>230</v>
      </c>
      <c r="H10" s="1" t="s">
        <v>204</v>
      </c>
      <c r="I10" s="1" t="s">
        <v>205</v>
      </c>
      <c r="J10" s="1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C013E-99AD-4BF6-92CC-6C990587A0B5}">
  <dimension ref="A1:G670"/>
  <sheetViews>
    <sheetView showGridLines="0" topLeftCell="A552" workbookViewId="0">
      <selection activeCell="G556" sqref="G556"/>
    </sheetView>
  </sheetViews>
  <sheetFormatPr baseColWidth="10" defaultRowHeight="15" x14ac:dyDescent="0.25"/>
  <cols>
    <col min="1" max="1" width="66" customWidth="1"/>
    <col min="2" max="2" width="30.28515625" bestFit="1" customWidth="1"/>
    <col min="3" max="3" width="19" customWidth="1"/>
    <col min="4" max="4" width="12.28515625" customWidth="1"/>
    <col min="5" max="5" width="24.5703125" bestFit="1" customWidth="1"/>
    <col min="6" max="6" width="41" bestFit="1" customWidth="1"/>
  </cols>
  <sheetData>
    <row r="1" spans="1:7" x14ac:dyDescent="0.25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156</v>
      </c>
      <c r="G1" s="1" t="s">
        <v>2</v>
      </c>
    </row>
    <row r="2" spans="1:7" x14ac:dyDescent="0.25">
      <c r="A2" s="1" t="s">
        <v>231</v>
      </c>
      <c r="B2" s="1" t="s">
        <v>232</v>
      </c>
      <c r="C2" s="1" t="s">
        <v>19</v>
      </c>
      <c r="D2" s="1" t="s">
        <v>14</v>
      </c>
      <c r="E2" s="1" t="s">
        <v>15</v>
      </c>
      <c r="F2" s="1" t="s">
        <v>233</v>
      </c>
      <c r="G2" s="1"/>
    </row>
    <row r="3" spans="1:7" x14ac:dyDescent="0.25">
      <c r="A3" s="1" t="s">
        <v>234</v>
      </c>
      <c r="B3" s="1" t="s">
        <v>232</v>
      </c>
      <c r="C3" s="1" t="s">
        <v>235</v>
      </c>
      <c r="D3" s="1" t="s">
        <v>14</v>
      </c>
      <c r="E3" s="1" t="s">
        <v>15</v>
      </c>
      <c r="F3" s="1" t="s">
        <v>233</v>
      </c>
      <c r="G3" s="1"/>
    </row>
    <row r="4" spans="1:7" x14ac:dyDescent="0.25">
      <c r="A4" s="1" t="s">
        <v>236</v>
      </c>
      <c r="B4" s="1" t="s">
        <v>232</v>
      </c>
      <c r="C4" s="1" t="s">
        <v>237</v>
      </c>
      <c r="D4" s="1" t="s">
        <v>14</v>
      </c>
      <c r="E4" s="1" t="s">
        <v>15</v>
      </c>
      <c r="F4" s="1" t="s">
        <v>233</v>
      </c>
      <c r="G4" s="1"/>
    </row>
    <row r="5" spans="1:7" x14ac:dyDescent="0.25">
      <c r="A5" s="1" t="s">
        <v>238</v>
      </c>
      <c r="B5" s="1" t="s">
        <v>239</v>
      </c>
      <c r="C5" s="1" t="s">
        <v>235</v>
      </c>
      <c r="D5" s="1" t="s">
        <v>14</v>
      </c>
      <c r="E5" s="1" t="s">
        <v>15</v>
      </c>
      <c r="F5" s="1" t="s">
        <v>240</v>
      </c>
      <c r="G5" s="1" t="s">
        <v>241</v>
      </c>
    </row>
    <row r="6" spans="1:7" x14ac:dyDescent="0.25">
      <c r="A6" s="1" t="s">
        <v>242</v>
      </c>
      <c r="B6" s="1" t="s">
        <v>243</v>
      </c>
      <c r="C6" s="1" t="s">
        <v>19</v>
      </c>
      <c r="D6" s="1" t="s">
        <v>244</v>
      </c>
      <c r="E6" s="1" t="s">
        <v>15</v>
      </c>
      <c r="F6" s="1" t="s">
        <v>245</v>
      </c>
      <c r="G6" s="1" t="s">
        <v>246</v>
      </c>
    </row>
    <row r="7" spans="1:7" x14ac:dyDescent="0.25">
      <c r="A7" s="1" t="s">
        <v>247</v>
      </c>
      <c r="B7" s="1" t="s">
        <v>243</v>
      </c>
      <c r="C7" s="1" t="s">
        <v>19</v>
      </c>
      <c r="D7" s="1" t="s">
        <v>244</v>
      </c>
      <c r="E7" s="1" t="s">
        <v>15</v>
      </c>
      <c r="F7" s="1" t="s">
        <v>245</v>
      </c>
      <c r="G7" s="1" t="s">
        <v>246</v>
      </c>
    </row>
    <row r="8" spans="1:7" x14ac:dyDescent="0.25">
      <c r="A8" s="1" t="s">
        <v>248</v>
      </c>
      <c r="B8" s="1" t="s">
        <v>243</v>
      </c>
      <c r="C8" s="1" t="s">
        <v>19</v>
      </c>
      <c r="D8" s="1" t="s">
        <v>14</v>
      </c>
      <c r="E8" s="1" t="s">
        <v>15</v>
      </c>
      <c r="F8" s="1" t="s">
        <v>245</v>
      </c>
      <c r="G8" s="1" t="s">
        <v>246</v>
      </c>
    </row>
    <row r="9" spans="1:7" x14ac:dyDescent="0.25">
      <c r="A9" s="1" t="s">
        <v>249</v>
      </c>
      <c r="B9" s="1" t="s">
        <v>250</v>
      </c>
      <c r="C9" s="1" t="s">
        <v>13</v>
      </c>
      <c r="D9" s="1" t="s">
        <v>14</v>
      </c>
      <c r="E9" s="1" t="s">
        <v>15</v>
      </c>
      <c r="F9" s="1" t="s">
        <v>251</v>
      </c>
      <c r="G9" s="1"/>
    </row>
    <row r="10" spans="1:7" x14ac:dyDescent="0.25">
      <c r="A10" s="1" t="s">
        <v>252</v>
      </c>
      <c r="B10" s="1" t="s">
        <v>253</v>
      </c>
      <c r="C10" s="1" t="s">
        <v>235</v>
      </c>
      <c r="D10" s="1" t="s">
        <v>14</v>
      </c>
      <c r="E10" s="1" t="s">
        <v>15</v>
      </c>
      <c r="F10" s="1" t="s">
        <v>254</v>
      </c>
      <c r="G10" s="1" t="s">
        <v>255</v>
      </c>
    </row>
    <row r="11" spans="1:7" x14ac:dyDescent="0.25">
      <c r="A11" s="1" t="s">
        <v>8</v>
      </c>
      <c r="B11" s="1" t="s">
        <v>12</v>
      </c>
      <c r="C11" s="1" t="s">
        <v>13</v>
      </c>
      <c r="D11" s="1" t="s">
        <v>14</v>
      </c>
      <c r="E11" s="1" t="s">
        <v>15</v>
      </c>
      <c r="F11" s="1" t="s">
        <v>256</v>
      </c>
      <c r="G11" s="1" t="s">
        <v>10</v>
      </c>
    </row>
    <row r="12" spans="1:7" x14ac:dyDescent="0.25">
      <c r="A12" s="1" t="s">
        <v>257</v>
      </c>
      <c r="B12" s="1" t="s">
        <v>258</v>
      </c>
      <c r="C12" s="1" t="s">
        <v>19</v>
      </c>
      <c r="D12" s="1" t="s">
        <v>14</v>
      </c>
      <c r="E12" s="1" t="s">
        <v>15</v>
      </c>
      <c r="F12" s="1" t="s">
        <v>259</v>
      </c>
      <c r="G12" s="1" t="s">
        <v>260</v>
      </c>
    </row>
    <row r="13" spans="1:7" x14ac:dyDescent="0.25">
      <c r="A13" s="1" t="s">
        <v>261</v>
      </c>
      <c r="B13" s="1" t="s">
        <v>258</v>
      </c>
      <c r="C13" s="1" t="s">
        <v>19</v>
      </c>
      <c r="D13" s="1" t="s">
        <v>14</v>
      </c>
      <c r="E13" s="1" t="s">
        <v>15</v>
      </c>
      <c r="F13" s="1" t="s">
        <v>259</v>
      </c>
      <c r="G13" s="1" t="s">
        <v>260</v>
      </c>
    </row>
    <row r="14" spans="1:7" x14ac:dyDescent="0.25">
      <c r="A14" s="1" t="s">
        <v>262</v>
      </c>
      <c r="B14" s="1" t="s">
        <v>258</v>
      </c>
      <c r="C14" s="1" t="s">
        <v>19</v>
      </c>
      <c r="D14" s="1" t="s">
        <v>14</v>
      </c>
      <c r="E14" s="1" t="s">
        <v>15</v>
      </c>
      <c r="F14" s="1" t="s">
        <v>259</v>
      </c>
      <c r="G14" s="1" t="s">
        <v>260</v>
      </c>
    </row>
    <row r="15" spans="1:7" x14ac:dyDescent="0.25">
      <c r="A15" s="1" t="s">
        <v>263</v>
      </c>
      <c r="B15" s="1" t="s">
        <v>258</v>
      </c>
      <c r="C15" s="1" t="s">
        <v>19</v>
      </c>
      <c r="D15" s="1" t="s">
        <v>14</v>
      </c>
      <c r="E15" s="1" t="s">
        <v>15</v>
      </c>
      <c r="F15" s="1" t="s">
        <v>259</v>
      </c>
      <c r="G15" s="1" t="s">
        <v>260</v>
      </c>
    </row>
    <row r="16" spans="1:7" x14ac:dyDescent="0.25">
      <c r="A16" s="1" t="s">
        <v>264</v>
      </c>
      <c r="B16" s="1" t="s">
        <v>258</v>
      </c>
      <c r="C16" s="1" t="s">
        <v>19</v>
      </c>
      <c r="D16" s="1" t="s">
        <v>14</v>
      </c>
      <c r="E16" s="1" t="s">
        <v>15</v>
      </c>
      <c r="F16" s="1" t="s">
        <v>259</v>
      </c>
      <c r="G16" s="1" t="s">
        <v>260</v>
      </c>
    </row>
    <row r="17" spans="1:7" x14ac:dyDescent="0.25">
      <c r="A17" s="1" t="s">
        <v>265</v>
      </c>
      <c r="B17" s="1" t="s">
        <v>258</v>
      </c>
      <c r="C17" s="1" t="s">
        <v>19</v>
      </c>
      <c r="D17" s="1" t="s">
        <v>14</v>
      </c>
      <c r="E17" s="1" t="s">
        <v>15</v>
      </c>
      <c r="F17" s="1" t="s">
        <v>259</v>
      </c>
      <c r="G17" s="1" t="s">
        <v>260</v>
      </c>
    </row>
    <row r="18" spans="1:7" x14ac:dyDescent="0.25">
      <c r="A18" s="1" t="s">
        <v>266</v>
      </c>
      <c r="B18" s="1" t="s">
        <v>258</v>
      </c>
      <c r="C18" s="1" t="s">
        <v>19</v>
      </c>
      <c r="D18" s="1" t="s">
        <v>24</v>
      </c>
      <c r="E18" s="1" t="s">
        <v>15</v>
      </c>
      <c r="F18" s="1" t="s">
        <v>259</v>
      </c>
      <c r="G18" s="1" t="s">
        <v>255</v>
      </c>
    </row>
    <row r="19" spans="1:7" x14ac:dyDescent="0.25">
      <c r="A19" s="1" t="s">
        <v>267</v>
      </c>
      <c r="B19" s="1" t="s">
        <v>258</v>
      </c>
      <c r="C19" s="1" t="s">
        <v>19</v>
      </c>
      <c r="D19" s="1" t="s">
        <v>14</v>
      </c>
      <c r="E19" s="1" t="s">
        <v>15</v>
      </c>
      <c r="F19" s="1" t="s">
        <v>259</v>
      </c>
      <c r="G19" s="1" t="s">
        <v>260</v>
      </c>
    </row>
    <row r="20" spans="1:7" x14ac:dyDescent="0.25">
      <c r="A20" s="1" t="s">
        <v>268</v>
      </c>
      <c r="B20" s="1" t="s">
        <v>258</v>
      </c>
      <c r="C20" s="1" t="s">
        <v>19</v>
      </c>
      <c r="D20" s="1" t="s">
        <v>244</v>
      </c>
      <c r="E20" s="1" t="s">
        <v>15</v>
      </c>
      <c r="F20" s="1" t="s">
        <v>259</v>
      </c>
      <c r="G20" s="1" t="s">
        <v>260</v>
      </c>
    </row>
    <row r="21" spans="1:7" x14ac:dyDescent="0.25">
      <c r="A21" s="1" t="s">
        <v>269</v>
      </c>
      <c r="B21" s="1" t="s">
        <v>258</v>
      </c>
      <c r="C21" s="1" t="s">
        <v>19</v>
      </c>
      <c r="D21" s="1" t="s">
        <v>14</v>
      </c>
      <c r="E21" s="1" t="s">
        <v>15</v>
      </c>
      <c r="F21" s="1" t="s">
        <v>259</v>
      </c>
      <c r="G21" s="1" t="s">
        <v>260</v>
      </c>
    </row>
    <row r="22" spans="1:7" x14ac:dyDescent="0.25">
      <c r="A22" s="1" t="s">
        <v>270</v>
      </c>
      <c r="B22" s="1" t="s">
        <v>258</v>
      </c>
      <c r="C22" s="1" t="s">
        <v>19</v>
      </c>
      <c r="D22" s="1" t="s">
        <v>14</v>
      </c>
      <c r="E22" s="1" t="s">
        <v>15</v>
      </c>
      <c r="F22" s="1" t="s">
        <v>259</v>
      </c>
      <c r="G22" s="1" t="s">
        <v>260</v>
      </c>
    </row>
    <row r="23" spans="1:7" x14ac:dyDescent="0.25">
      <c r="A23" s="1" t="s">
        <v>271</v>
      </c>
      <c r="B23" s="1" t="s">
        <v>258</v>
      </c>
      <c r="C23" s="1" t="s">
        <v>19</v>
      </c>
      <c r="D23" s="1" t="s">
        <v>14</v>
      </c>
      <c r="E23" s="1" t="s">
        <v>15</v>
      </c>
      <c r="F23" s="1" t="s">
        <v>259</v>
      </c>
      <c r="G23" s="1" t="s">
        <v>260</v>
      </c>
    </row>
    <row r="24" spans="1:7" x14ac:dyDescent="0.25">
      <c r="A24" s="1" t="s">
        <v>272</v>
      </c>
      <c r="B24" s="1" t="s">
        <v>258</v>
      </c>
      <c r="C24" s="1" t="s">
        <v>19</v>
      </c>
      <c r="D24" s="1" t="s">
        <v>273</v>
      </c>
      <c r="E24" s="1" t="s">
        <v>15</v>
      </c>
      <c r="F24" s="1" t="s">
        <v>259</v>
      </c>
      <c r="G24" s="1" t="s">
        <v>255</v>
      </c>
    </row>
    <row r="25" spans="1:7" x14ac:dyDescent="0.25">
      <c r="A25" s="1" t="s">
        <v>274</v>
      </c>
      <c r="B25" s="1" t="s">
        <v>258</v>
      </c>
      <c r="C25" s="1" t="s">
        <v>19</v>
      </c>
      <c r="D25" s="1" t="s">
        <v>14</v>
      </c>
      <c r="E25" s="1" t="s">
        <v>15</v>
      </c>
      <c r="F25" s="1" t="s">
        <v>259</v>
      </c>
      <c r="G25" s="1" t="s">
        <v>260</v>
      </c>
    </row>
    <row r="26" spans="1:7" x14ac:dyDescent="0.25">
      <c r="A26" s="1" t="s">
        <v>275</v>
      </c>
      <c r="B26" s="1" t="s">
        <v>258</v>
      </c>
      <c r="C26" s="1" t="s">
        <v>19</v>
      </c>
      <c r="D26" s="1" t="s">
        <v>24</v>
      </c>
      <c r="E26" s="1" t="s">
        <v>15</v>
      </c>
      <c r="F26" s="1" t="s">
        <v>259</v>
      </c>
      <c r="G26" s="1" t="s">
        <v>260</v>
      </c>
    </row>
    <row r="27" spans="1:7" x14ac:dyDescent="0.25">
      <c r="A27" s="1" t="s">
        <v>276</v>
      </c>
      <c r="B27" s="1" t="s">
        <v>258</v>
      </c>
      <c r="C27" s="1" t="s">
        <v>19</v>
      </c>
      <c r="D27" s="1" t="s">
        <v>14</v>
      </c>
      <c r="E27" s="1" t="s">
        <v>15</v>
      </c>
      <c r="F27" s="1" t="s">
        <v>259</v>
      </c>
      <c r="G27" s="1" t="s">
        <v>260</v>
      </c>
    </row>
    <row r="28" spans="1:7" x14ac:dyDescent="0.25">
      <c r="A28" s="1" t="s">
        <v>277</v>
      </c>
      <c r="B28" s="1" t="s">
        <v>258</v>
      </c>
      <c r="C28" s="1" t="s">
        <v>19</v>
      </c>
      <c r="D28" s="1" t="s">
        <v>14</v>
      </c>
      <c r="E28" s="1" t="s">
        <v>15</v>
      </c>
      <c r="F28" s="1" t="s">
        <v>259</v>
      </c>
      <c r="G28" s="1" t="s">
        <v>260</v>
      </c>
    </row>
    <row r="29" spans="1:7" x14ac:dyDescent="0.25">
      <c r="A29" s="1" t="s">
        <v>278</v>
      </c>
      <c r="B29" s="1" t="s">
        <v>258</v>
      </c>
      <c r="C29" s="1" t="s">
        <v>19</v>
      </c>
      <c r="D29" s="1" t="s">
        <v>14</v>
      </c>
      <c r="E29" s="1" t="s">
        <v>15</v>
      </c>
      <c r="F29" s="1" t="s">
        <v>259</v>
      </c>
      <c r="G29" s="1" t="s">
        <v>260</v>
      </c>
    </row>
    <row r="30" spans="1:7" x14ac:dyDescent="0.25">
      <c r="A30" s="1" t="s">
        <v>279</v>
      </c>
      <c r="B30" s="1" t="s">
        <v>258</v>
      </c>
      <c r="C30" s="1" t="s">
        <v>19</v>
      </c>
      <c r="D30" s="1" t="s">
        <v>14</v>
      </c>
      <c r="E30" s="1" t="s">
        <v>15</v>
      </c>
      <c r="F30" s="1" t="s">
        <v>259</v>
      </c>
      <c r="G30" s="1" t="s">
        <v>260</v>
      </c>
    </row>
    <row r="31" spans="1:7" x14ac:dyDescent="0.25">
      <c r="A31" s="1" t="s">
        <v>280</v>
      </c>
      <c r="B31" s="1" t="s">
        <v>258</v>
      </c>
      <c r="C31" s="1" t="s">
        <v>19</v>
      </c>
      <c r="D31" s="1" t="s">
        <v>14</v>
      </c>
      <c r="E31" s="1" t="s">
        <v>15</v>
      </c>
      <c r="F31" s="1" t="s">
        <v>259</v>
      </c>
      <c r="G31" s="1" t="s">
        <v>260</v>
      </c>
    </row>
    <row r="32" spans="1:7" x14ac:dyDescent="0.25">
      <c r="A32" s="1" t="s">
        <v>281</v>
      </c>
      <c r="B32" s="1" t="s">
        <v>258</v>
      </c>
      <c r="C32" s="1" t="s">
        <v>19</v>
      </c>
      <c r="D32" s="1" t="s">
        <v>14</v>
      </c>
      <c r="E32" s="1" t="s">
        <v>15</v>
      </c>
      <c r="F32" s="1" t="s">
        <v>259</v>
      </c>
      <c r="G32" s="1" t="s">
        <v>260</v>
      </c>
    </row>
    <row r="33" spans="1:7" x14ac:dyDescent="0.25">
      <c r="A33" s="1" t="s">
        <v>282</v>
      </c>
      <c r="B33" s="1" t="s">
        <v>258</v>
      </c>
      <c r="C33" s="1" t="s">
        <v>19</v>
      </c>
      <c r="D33" s="1" t="s">
        <v>244</v>
      </c>
      <c r="E33" s="1" t="s">
        <v>15</v>
      </c>
      <c r="F33" s="1" t="s">
        <v>259</v>
      </c>
      <c r="G33" s="1" t="s">
        <v>260</v>
      </c>
    </row>
    <row r="34" spans="1:7" x14ac:dyDescent="0.25">
      <c r="A34" s="1" t="s">
        <v>283</v>
      </c>
      <c r="B34" s="1" t="s">
        <v>258</v>
      </c>
      <c r="C34" s="1" t="s">
        <v>19</v>
      </c>
      <c r="D34" s="1" t="s">
        <v>14</v>
      </c>
      <c r="E34" s="1" t="s">
        <v>15</v>
      </c>
      <c r="F34" s="1" t="s">
        <v>259</v>
      </c>
      <c r="G34" s="1" t="s">
        <v>260</v>
      </c>
    </row>
    <row r="35" spans="1:7" x14ac:dyDescent="0.25">
      <c r="A35" s="1" t="s">
        <v>284</v>
      </c>
      <c r="B35" s="1" t="s">
        <v>258</v>
      </c>
      <c r="C35" s="1" t="s">
        <v>19</v>
      </c>
      <c r="D35" s="1" t="s">
        <v>14</v>
      </c>
      <c r="E35" s="1" t="s">
        <v>15</v>
      </c>
      <c r="F35" s="1" t="s">
        <v>259</v>
      </c>
      <c r="G35" s="1" t="s">
        <v>260</v>
      </c>
    </row>
    <row r="36" spans="1:7" x14ac:dyDescent="0.25">
      <c r="A36" s="1" t="s">
        <v>285</v>
      </c>
      <c r="B36" s="1" t="s">
        <v>258</v>
      </c>
      <c r="C36" s="1" t="s">
        <v>64</v>
      </c>
      <c r="D36" s="1" t="s">
        <v>14</v>
      </c>
      <c r="E36" s="1" t="s">
        <v>15</v>
      </c>
      <c r="F36" s="1" t="s">
        <v>259</v>
      </c>
      <c r="G36" s="1" t="s">
        <v>260</v>
      </c>
    </row>
    <row r="37" spans="1:7" x14ac:dyDescent="0.25">
      <c r="A37" s="1" t="s">
        <v>286</v>
      </c>
      <c r="B37" s="1" t="s">
        <v>258</v>
      </c>
      <c r="C37" s="1" t="s">
        <v>64</v>
      </c>
      <c r="D37" s="1" t="s">
        <v>14</v>
      </c>
      <c r="E37" s="1" t="s">
        <v>15</v>
      </c>
      <c r="F37" s="1" t="s">
        <v>259</v>
      </c>
      <c r="G37" s="1" t="s">
        <v>260</v>
      </c>
    </row>
    <row r="38" spans="1:7" x14ac:dyDescent="0.25">
      <c r="A38" s="1" t="s">
        <v>287</v>
      </c>
      <c r="B38" s="1" t="s">
        <v>258</v>
      </c>
      <c r="C38" s="1" t="s">
        <v>237</v>
      </c>
      <c r="D38" s="1" t="s">
        <v>14</v>
      </c>
      <c r="E38" s="1" t="s">
        <v>15</v>
      </c>
      <c r="F38" s="1" t="s">
        <v>259</v>
      </c>
      <c r="G38" s="1" t="s">
        <v>260</v>
      </c>
    </row>
    <row r="39" spans="1:7" x14ac:dyDescent="0.25">
      <c r="A39" s="1" t="s">
        <v>288</v>
      </c>
      <c r="B39" s="1" t="s">
        <v>258</v>
      </c>
      <c r="C39" s="1" t="s">
        <v>237</v>
      </c>
      <c r="D39" s="1" t="s">
        <v>14</v>
      </c>
      <c r="E39" s="1" t="s">
        <v>15</v>
      </c>
      <c r="F39" s="1" t="s">
        <v>259</v>
      </c>
      <c r="G39" s="1" t="s">
        <v>260</v>
      </c>
    </row>
    <row r="40" spans="1:7" x14ac:dyDescent="0.25">
      <c r="A40" s="1" t="s">
        <v>289</v>
      </c>
      <c r="B40" s="1" t="s">
        <v>258</v>
      </c>
      <c r="C40" s="1" t="s">
        <v>237</v>
      </c>
      <c r="D40" s="1" t="s">
        <v>14</v>
      </c>
      <c r="E40" s="1" t="s">
        <v>15</v>
      </c>
      <c r="F40" s="1" t="s">
        <v>259</v>
      </c>
      <c r="G40" s="1" t="s">
        <v>260</v>
      </c>
    </row>
    <row r="41" spans="1:7" x14ac:dyDescent="0.25">
      <c r="A41" s="1" t="s">
        <v>290</v>
      </c>
      <c r="B41" s="1" t="s">
        <v>258</v>
      </c>
      <c r="C41" s="1" t="s">
        <v>19</v>
      </c>
      <c r="D41" s="1" t="s">
        <v>14</v>
      </c>
      <c r="E41" s="1" t="s">
        <v>15</v>
      </c>
      <c r="F41" s="1" t="s">
        <v>259</v>
      </c>
      <c r="G41" s="1" t="s">
        <v>255</v>
      </c>
    </row>
    <row r="42" spans="1:7" x14ac:dyDescent="0.25">
      <c r="A42" s="1" t="s">
        <v>291</v>
      </c>
      <c r="B42" s="1" t="s">
        <v>258</v>
      </c>
      <c r="C42" s="1" t="s">
        <v>235</v>
      </c>
      <c r="D42" s="1" t="s">
        <v>14</v>
      </c>
      <c r="E42" s="1" t="s">
        <v>15</v>
      </c>
      <c r="F42" s="1" t="s">
        <v>259</v>
      </c>
      <c r="G42" s="1" t="s">
        <v>260</v>
      </c>
    </row>
    <row r="43" spans="1:7" x14ac:dyDescent="0.25">
      <c r="A43" s="1" t="s">
        <v>292</v>
      </c>
      <c r="B43" s="1" t="s">
        <v>258</v>
      </c>
      <c r="C43" s="1" t="s">
        <v>235</v>
      </c>
      <c r="D43" s="1" t="s">
        <v>14</v>
      </c>
      <c r="E43" s="1" t="s">
        <v>15</v>
      </c>
      <c r="F43" s="1" t="s">
        <v>259</v>
      </c>
      <c r="G43" s="1" t="s">
        <v>260</v>
      </c>
    </row>
    <row r="44" spans="1:7" x14ac:dyDescent="0.25">
      <c r="A44" s="1" t="s">
        <v>293</v>
      </c>
      <c r="B44" s="1" t="s">
        <v>258</v>
      </c>
      <c r="C44" s="1" t="s">
        <v>165</v>
      </c>
      <c r="D44" s="1" t="s">
        <v>14</v>
      </c>
      <c r="E44" s="1" t="s">
        <v>15</v>
      </c>
      <c r="F44" s="1" t="s">
        <v>259</v>
      </c>
      <c r="G44" s="1" t="s">
        <v>260</v>
      </c>
    </row>
    <row r="45" spans="1:7" x14ac:dyDescent="0.25">
      <c r="A45" s="1" t="s">
        <v>294</v>
      </c>
      <c r="B45" s="1" t="s">
        <v>258</v>
      </c>
      <c r="C45" s="1" t="s">
        <v>165</v>
      </c>
      <c r="D45" s="1" t="s">
        <v>14</v>
      </c>
      <c r="E45" s="1" t="s">
        <v>15</v>
      </c>
      <c r="F45" s="1" t="s">
        <v>259</v>
      </c>
      <c r="G45" s="1" t="s">
        <v>260</v>
      </c>
    </row>
    <row r="46" spans="1:7" x14ac:dyDescent="0.25">
      <c r="A46" s="1" t="s">
        <v>295</v>
      </c>
      <c r="B46" s="1" t="s">
        <v>258</v>
      </c>
      <c r="C46" s="1" t="s">
        <v>21</v>
      </c>
      <c r="D46" s="1" t="s">
        <v>14</v>
      </c>
      <c r="E46" s="1" t="s">
        <v>15</v>
      </c>
      <c r="F46" s="1" t="s">
        <v>259</v>
      </c>
      <c r="G46" s="1" t="s">
        <v>260</v>
      </c>
    </row>
    <row r="47" spans="1:7" x14ac:dyDescent="0.25">
      <c r="A47" s="1" t="s">
        <v>296</v>
      </c>
      <c r="B47" s="1" t="s">
        <v>297</v>
      </c>
      <c r="C47" s="1" t="s">
        <v>13</v>
      </c>
      <c r="D47" s="1" t="s">
        <v>14</v>
      </c>
      <c r="E47" s="1" t="s">
        <v>15</v>
      </c>
      <c r="F47" s="1" t="s">
        <v>298</v>
      </c>
      <c r="G47" s="1"/>
    </row>
    <row r="48" spans="1:7" x14ac:dyDescent="0.25">
      <c r="A48" s="1" t="s">
        <v>299</v>
      </c>
      <c r="B48" s="1" t="s">
        <v>297</v>
      </c>
      <c r="C48" s="1" t="s">
        <v>13</v>
      </c>
      <c r="D48" s="1" t="s">
        <v>14</v>
      </c>
      <c r="E48" s="1" t="s">
        <v>15</v>
      </c>
      <c r="F48" s="1" t="s">
        <v>298</v>
      </c>
      <c r="G48" s="1"/>
    </row>
    <row r="49" spans="1:7" x14ac:dyDescent="0.25">
      <c r="A49" s="1" t="s">
        <v>300</v>
      </c>
      <c r="B49" s="1" t="s">
        <v>297</v>
      </c>
      <c r="C49" s="1" t="s">
        <v>13</v>
      </c>
      <c r="D49" s="1" t="s">
        <v>14</v>
      </c>
      <c r="E49" s="1" t="s">
        <v>15</v>
      </c>
      <c r="F49" s="1" t="s">
        <v>298</v>
      </c>
      <c r="G49" s="1"/>
    </row>
    <row r="50" spans="1:7" x14ac:dyDescent="0.25">
      <c r="A50" s="1" t="s">
        <v>128</v>
      </c>
      <c r="B50" s="1" t="s">
        <v>301</v>
      </c>
      <c r="C50" s="1" t="s">
        <v>19</v>
      </c>
      <c r="D50" s="1" t="s">
        <v>14</v>
      </c>
      <c r="E50" s="1" t="s">
        <v>15</v>
      </c>
      <c r="F50" s="1" t="s">
        <v>302</v>
      </c>
      <c r="G50" s="1" t="s">
        <v>303</v>
      </c>
    </row>
    <row r="51" spans="1:7" x14ac:dyDescent="0.25">
      <c r="A51" s="1" t="s">
        <v>304</v>
      </c>
      <c r="B51" s="1" t="s">
        <v>305</v>
      </c>
      <c r="C51" s="1" t="s">
        <v>19</v>
      </c>
      <c r="D51" s="1" t="s">
        <v>14</v>
      </c>
      <c r="E51" s="1" t="s">
        <v>15</v>
      </c>
      <c r="F51" s="1" t="s">
        <v>306</v>
      </c>
      <c r="G51" s="1"/>
    </row>
    <row r="52" spans="1:7" x14ac:dyDescent="0.25">
      <c r="A52" s="1" t="s">
        <v>87</v>
      </c>
      <c r="B52" s="1" t="s">
        <v>301</v>
      </c>
      <c r="C52" s="1" t="s">
        <v>307</v>
      </c>
      <c r="D52" s="1" t="s">
        <v>14</v>
      </c>
      <c r="E52" s="1" t="s">
        <v>15</v>
      </c>
      <c r="F52" s="1" t="s">
        <v>302</v>
      </c>
      <c r="G52" s="1" t="s">
        <v>303</v>
      </c>
    </row>
    <row r="53" spans="1:7" x14ac:dyDescent="0.25">
      <c r="A53" s="1" t="s">
        <v>97</v>
      </c>
      <c r="B53" s="1" t="s">
        <v>301</v>
      </c>
      <c r="C53" s="1" t="s">
        <v>308</v>
      </c>
      <c r="D53" s="1" t="s">
        <v>14</v>
      </c>
      <c r="E53" s="1" t="s">
        <v>15</v>
      </c>
      <c r="F53" s="1" t="s">
        <v>302</v>
      </c>
      <c r="G53" s="1" t="s">
        <v>303</v>
      </c>
    </row>
    <row r="54" spans="1:7" x14ac:dyDescent="0.25">
      <c r="A54" s="1" t="s">
        <v>309</v>
      </c>
      <c r="B54" s="1" t="s">
        <v>305</v>
      </c>
      <c r="C54" s="1" t="s">
        <v>310</v>
      </c>
      <c r="D54" s="1" t="s">
        <v>14</v>
      </c>
      <c r="E54" s="1" t="s">
        <v>15</v>
      </c>
      <c r="F54" s="1" t="s">
        <v>306</v>
      </c>
      <c r="G54" s="1"/>
    </row>
    <row r="55" spans="1:7" x14ac:dyDescent="0.25">
      <c r="A55" s="1" t="s">
        <v>311</v>
      </c>
      <c r="B55" s="1" t="s">
        <v>312</v>
      </c>
      <c r="C55" s="1" t="s">
        <v>167</v>
      </c>
      <c r="D55" s="1" t="s">
        <v>14</v>
      </c>
      <c r="E55" s="1" t="s">
        <v>15</v>
      </c>
      <c r="F55" s="1" t="s">
        <v>313</v>
      </c>
      <c r="G55" s="1"/>
    </row>
    <row r="56" spans="1:7" x14ac:dyDescent="0.25">
      <c r="A56" s="1" t="s">
        <v>314</v>
      </c>
      <c r="B56" s="1" t="s">
        <v>243</v>
      </c>
      <c r="C56" s="1" t="s">
        <v>167</v>
      </c>
      <c r="D56" s="1" t="s">
        <v>14</v>
      </c>
      <c r="E56" s="1" t="s">
        <v>15</v>
      </c>
      <c r="F56" s="1" t="s">
        <v>245</v>
      </c>
      <c r="G56" s="1" t="s">
        <v>246</v>
      </c>
    </row>
    <row r="57" spans="1:7" x14ac:dyDescent="0.25">
      <c r="A57" s="1" t="s">
        <v>315</v>
      </c>
      <c r="B57" s="1" t="s">
        <v>316</v>
      </c>
      <c r="C57" s="1" t="s">
        <v>210</v>
      </c>
      <c r="D57" s="1" t="s">
        <v>24</v>
      </c>
      <c r="E57" s="1" t="s">
        <v>15</v>
      </c>
      <c r="F57" s="1" t="s">
        <v>317</v>
      </c>
      <c r="G57" s="1"/>
    </row>
    <row r="58" spans="1:7" x14ac:dyDescent="0.25">
      <c r="A58" s="1" t="s">
        <v>318</v>
      </c>
      <c r="B58" s="1" t="s">
        <v>297</v>
      </c>
      <c r="C58" s="1" t="s">
        <v>13</v>
      </c>
      <c r="D58" s="1" t="s">
        <v>14</v>
      </c>
      <c r="E58" s="1" t="s">
        <v>15</v>
      </c>
      <c r="F58" s="1" t="s">
        <v>298</v>
      </c>
      <c r="G58" s="1"/>
    </row>
    <row r="59" spans="1:7" x14ac:dyDescent="0.25">
      <c r="A59" s="1" t="s">
        <v>319</v>
      </c>
      <c r="B59" s="1" t="s">
        <v>297</v>
      </c>
      <c r="C59" s="1" t="s">
        <v>13</v>
      </c>
      <c r="D59" s="1" t="s">
        <v>14</v>
      </c>
      <c r="E59" s="1" t="s">
        <v>15</v>
      </c>
      <c r="F59" s="1" t="s">
        <v>298</v>
      </c>
      <c r="G59" s="1"/>
    </row>
    <row r="60" spans="1:7" x14ac:dyDescent="0.25">
      <c r="A60" s="1" t="s">
        <v>320</v>
      </c>
      <c r="B60" s="1" t="s">
        <v>297</v>
      </c>
      <c r="C60" s="1" t="s">
        <v>13</v>
      </c>
      <c r="D60" s="1" t="s">
        <v>14</v>
      </c>
      <c r="E60" s="1" t="s">
        <v>15</v>
      </c>
      <c r="F60" s="1" t="s">
        <v>298</v>
      </c>
      <c r="G60" s="1"/>
    </row>
    <row r="61" spans="1:7" x14ac:dyDescent="0.25">
      <c r="A61" s="1" t="s">
        <v>321</v>
      </c>
      <c r="B61" s="1" t="s">
        <v>297</v>
      </c>
      <c r="C61" s="1" t="s">
        <v>163</v>
      </c>
      <c r="D61" s="1" t="s">
        <v>14</v>
      </c>
      <c r="E61" s="1" t="s">
        <v>15</v>
      </c>
      <c r="F61" s="1" t="s">
        <v>298</v>
      </c>
      <c r="G61" s="1"/>
    </row>
    <row r="62" spans="1:7" x14ac:dyDescent="0.25">
      <c r="A62" s="1" t="s">
        <v>322</v>
      </c>
      <c r="B62" s="1" t="s">
        <v>297</v>
      </c>
      <c r="C62" s="1" t="s">
        <v>163</v>
      </c>
      <c r="D62" s="1" t="s">
        <v>14</v>
      </c>
      <c r="E62" s="1" t="s">
        <v>15</v>
      </c>
      <c r="F62" s="1" t="s">
        <v>298</v>
      </c>
      <c r="G62" s="1"/>
    </row>
    <row r="63" spans="1:7" x14ac:dyDescent="0.25">
      <c r="A63" s="1" t="s">
        <v>16</v>
      </c>
      <c r="B63" s="1" t="s">
        <v>12</v>
      </c>
      <c r="C63" s="1" t="s">
        <v>19</v>
      </c>
      <c r="D63" s="1" t="s">
        <v>14</v>
      </c>
      <c r="E63" s="1" t="s">
        <v>15</v>
      </c>
      <c r="F63" s="1" t="s">
        <v>256</v>
      </c>
      <c r="G63" s="1" t="s">
        <v>10</v>
      </c>
    </row>
    <row r="64" spans="1:7" x14ac:dyDescent="0.25">
      <c r="A64" s="1" t="s">
        <v>16</v>
      </c>
      <c r="B64" s="1" t="s">
        <v>12</v>
      </c>
      <c r="C64" s="1" t="s">
        <v>21</v>
      </c>
      <c r="D64" s="1" t="s">
        <v>14</v>
      </c>
      <c r="E64" s="1" t="s">
        <v>15</v>
      </c>
      <c r="F64" s="1" t="s">
        <v>256</v>
      </c>
      <c r="G64" s="1" t="s">
        <v>10</v>
      </c>
    </row>
    <row r="65" spans="1:7" x14ac:dyDescent="0.25">
      <c r="A65" s="1" t="s">
        <v>22</v>
      </c>
      <c r="B65" s="1" t="s">
        <v>12</v>
      </c>
      <c r="C65" s="1" t="s">
        <v>19</v>
      </c>
      <c r="D65" s="1" t="s">
        <v>24</v>
      </c>
      <c r="E65" s="1" t="s">
        <v>15</v>
      </c>
      <c r="F65" s="1" t="s">
        <v>256</v>
      </c>
      <c r="G65" s="1" t="s">
        <v>10</v>
      </c>
    </row>
    <row r="66" spans="1:7" x14ac:dyDescent="0.25">
      <c r="A66" s="1" t="s">
        <v>25</v>
      </c>
      <c r="B66" s="1" t="s">
        <v>12</v>
      </c>
      <c r="C66" s="1" t="s">
        <v>19</v>
      </c>
      <c r="D66" s="1" t="s">
        <v>14</v>
      </c>
      <c r="E66" s="1" t="s">
        <v>15</v>
      </c>
      <c r="F66" s="1" t="s">
        <v>256</v>
      </c>
      <c r="G66" s="1" t="s">
        <v>10</v>
      </c>
    </row>
    <row r="67" spans="1:7" x14ac:dyDescent="0.25">
      <c r="A67" s="1" t="s">
        <v>27</v>
      </c>
      <c r="B67" s="1" t="s">
        <v>12</v>
      </c>
      <c r="C67" s="1" t="s">
        <v>19</v>
      </c>
      <c r="D67" s="1" t="s">
        <v>24</v>
      </c>
      <c r="E67" s="1" t="s">
        <v>15</v>
      </c>
      <c r="F67" s="1" t="s">
        <v>256</v>
      </c>
      <c r="G67" s="1" t="s">
        <v>10</v>
      </c>
    </row>
    <row r="68" spans="1:7" x14ac:dyDescent="0.25">
      <c r="A68" s="1" t="s">
        <v>28</v>
      </c>
      <c r="B68" s="1" t="s">
        <v>12</v>
      </c>
      <c r="C68" s="1" t="s">
        <v>19</v>
      </c>
      <c r="D68" s="1" t="s">
        <v>14</v>
      </c>
      <c r="E68" s="1" t="s">
        <v>15</v>
      </c>
      <c r="F68" s="1" t="s">
        <v>256</v>
      </c>
      <c r="G68" s="1" t="s">
        <v>10</v>
      </c>
    </row>
    <row r="69" spans="1:7" x14ac:dyDescent="0.25">
      <c r="A69" s="1" t="s">
        <v>30</v>
      </c>
      <c r="B69" s="1" t="s">
        <v>12</v>
      </c>
      <c r="C69" s="1" t="s">
        <v>19</v>
      </c>
      <c r="D69" s="1" t="s">
        <v>14</v>
      </c>
      <c r="E69" s="1" t="s">
        <v>15</v>
      </c>
      <c r="F69" s="1" t="s">
        <v>256</v>
      </c>
      <c r="G69" s="1" t="s">
        <v>10</v>
      </c>
    </row>
    <row r="70" spans="1:7" x14ac:dyDescent="0.25">
      <c r="A70" s="1" t="s">
        <v>30</v>
      </c>
      <c r="B70" s="1" t="s">
        <v>12</v>
      </c>
      <c r="C70" s="1" t="s">
        <v>21</v>
      </c>
      <c r="D70" s="1" t="s">
        <v>14</v>
      </c>
      <c r="E70" s="1" t="s">
        <v>15</v>
      </c>
      <c r="F70" s="1" t="s">
        <v>256</v>
      </c>
      <c r="G70" s="1" t="s">
        <v>10</v>
      </c>
    </row>
    <row r="71" spans="1:7" x14ac:dyDescent="0.25">
      <c r="A71" s="1" t="s">
        <v>33</v>
      </c>
      <c r="B71" s="1" t="s">
        <v>12</v>
      </c>
      <c r="C71" s="1" t="s">
        <v>19</v>
      </c>
      <c r="D71" s="1" t="s">
        <v>14</v>
      </c>
      <c r="E71" s="1" t="s">
        <v>15</v>
      </c>
      <c r="F71" s="1" t="s">
        <v>256</v>
      </c>
      <c r="G71" s="1" t="s">
        <v>10</v>
      </c>
    </row>
    <row r="72" spans="1:7" x14ac:dyDescent="0.25">
      <c r="A72" s="1" t="s">
        <v>323</v>
      </c>
      <c r="B72" s="1" t="s">
        <v>324</v>
      </c>
      <c r="C72" s="1" t="s">
        <v>325</v>
      </c>
      <c r="D72" s="1" t="s">
        <v>14</v>
      </c>
      <c r="E72" s="1" t="s">
        <v>15</v>
      </c>
      <c r="F72" s="1" t="s">
        <v>326</v>
      </c>
      <c r="G72" s="1"/>
    </row>
    <row r="73" spans="1:7" x14ac:dyDescent="0.25">
      <c r="A73" s="1" t="s">
        <v>327</v>
      </c>
      <c r="B73" s="1" t="s">
        <v>253</v>
      </c>
      <c r="C73" s="1" t="s">
        <v>19</v>
      </c>
      <c r="D73" s="1" t="s">
        <v>14</v>
      </c>
      <c r="E73" s="1" t="s">
        <v>15</v>
      </c>
      <c r="F73" s="1" t="s">
        <v>254</v>
      </c>
      <c r="G73" s="1" t="s">
        <v>255</v>
      </c>
    </row>
    <row r="74" spans="1:7" x14ac:dyDescent="0.25">
      <c r="A74" s="1" t="s">
        <v>328</v>
      </c>
      <c r="B74" s="1" t="s">
        <v>324</v>
      </c>
      <c r="C74" s="1" t="s">
        <v>167</v>
      </c>
      <c r="D74" s="1" t="s">
        <v>14</v>
      </c>
      <c r="E74" s="1" t="s">
        <v>15</v>
      </c>
      <c r="F74" s="1" t="s">
        <v>326</v>
      </c>
      <c r="G74" s="1"/>
    </row>
    <row r="75" spans="1:7" x14ac:dyDescent="0.25">
      <c r="A75" s="1" t="s">
        <v>329</v>
      </c>
      <c r="B75" s="1" t="s">
        <v>243</v>
      </c>
      <c r="C75" s="1" t="s">
        <v>235</v>
      </c>
      <c r="D75" s="1" t="s">
        <v>14</v>
      </c>
      <c r="E75" s="1" t="s">
        <v>15</v>
      </c>
      <c r="F75" s="1" t="s">
        <v>245</v>
      </c>
      <c r="G75" s="1" t="s">
        <v>246</v>
      </c>
    </row>
    <row r="76" spans="1:7" x14ac:dyDescent="0.25">
      <c r="A76" s="1" t="s">
        <v>86</v>
      </c>
      <c r="B76" s="1" t="s">
        <v>91</v>
      </c>
      <c r="C76" s="1" t="s">
        <v>307</v>
      </c>
      <c r="D76" s="1" t="s">
        <v>14</v>
      </c>
      <c r="E76" s="1" t="s">
        <v>15</v>
      </c>
      <c r="F76" s="1" t="s">
        <v>330</v>
      </c>
      <c r="G76" s="1" t="s">
        <v>90</v>
      </c>
    </row>
    <row r="77" spans="1:7" x14ac:dyDescent="0.25">
      <c r="A77" s="1" t="s">
        <v>92</v>
      </c>
      <c r="B77" s="1" t="s">
        <v>91</v>
      </c>
      <c r="C77" s="1" t="s">
        <v>19</v>
      </c>
      <c r="D77" s="1" t="s">
        <v>14</v>
      </c>
      <c r="E77" s="1" t="s">
        <v>15</v>
      </c>
      <c r="F77" s="1" t="s">
        <v>330</v>
      </c>
      <c r="G77" s="1" t="s">
        <v>90</v>
      </c>
    </row>
    <row r="78" spans="1:7" x14ac:dyDescent="0.25">
      <c r="A78" s="1" t="s">
        <v>95</v>
      </c>
      <c r="B78" s="1" t="s">
        <v>91</v>
      </c>
      <c r="C78" s="1" t="s">
        <v>19</v>
      </c>
      <c r="D78" s="1" t="s">
        <v>14</v>
      </c>
      <c r="E78" s="1" t="s">
        <v>15</v>
      </c>
      <c r="F78" s="1" t="s">
        <v>330</v>
      </c>
      <c r="G78" s="1" t="s">
        <v>90</v>
      </c>
    </row>
    <row r="79" spans="1:7" x14ac:dyDescent="0.25">
      <c r="A79" s="1" t="s">
        <v>96</v>
      </c>
      <c r="B79" s="1" t="s">
        <v>91</v>
      </c>
      <c r="C79" s="1" t="s">
        <v>308</v>
      </c>
      <c r="D79" s="1" t="s">
        <v>14</v>
      </c>
      <c r="E79" s="1" t="s">
        <v>15</v>
      </c>
      <c r="F79" s="1" t="s">
        <v>330</v>
      </c>
      <c r="G79" s="1" t="s">
        <v>90</v>
      </c>
    </row>
    <row r="80" spans="1:7" x14ac:dyDescent="0.25">
      <c r="A80" s="1" t="s">
        <v>99</v>
      </c>
      <c r="B80" s="1" t="s">
        <v>91</v>
      </c>
      <c r="C80" s="1" t="s">
        <v>19</v>
      </c>
      <c r="D80" s="1" t="s">
        <v>14</v>
      </c>
      <c r="E80" s="1" t="s">
        <v>15</v>
      </c>
      <c r="F80" s="1" t="s">
        <v>330</v>
      </c>
      <c r="G80" s="1" t="s">
        <v>90</v>
      </c>
    </row>
    <row r="81" spans="1:7" x14ac:dyDescent="0.25">
      <c r="A81" s="1" t="s">
        <v>181</v>
      </c>
      <c r="B81" s="1" t="s">
        <v>331</v>
      </c>
      <c r="C81" s="1" t="s">
        <v>184</v>
      </c>
      <c r="D81" s="1" t="s">
        <v>186</v>
      </c>
      <c r="E81" s="1" t="s">
        <v>15</v>
      </c>
      <c r="F81" s="1" t="s">
        <v>332</v>
      </c>
      <c r="G81" s="1" t="s">
        <v>185</v>
      </c>
    </row>
    <row r="82" spans="1:7" x14ac:dyDescent="0.25">
      <c r="A82" s="1" t="s">
        <v>333</v>
      </c>
      <c r="B82" s="1" t="s">
        <v>334</v>
      </c>
      <c r="C82" s="1" t="s">
        <v>184</v>
      </c>
      <c r="D82" s="1" t="s">
        <v>186</v>
      </c>
      <c r="E82" s="1" t="s">
        <v>15</v>
      </c>
      <c r="F82" s="1" t="s">
        <v>335</v>
      </c>
      <c r="G82" s="1"/>
    </row>
    <row r="83" spans="1:7" x14ac:dyDescent="0.25">
      <c r="A83" s="1" t="s">
        <v>187</v>
      </c>
      <c r="B83" s="1" t="s">
        <v>331</v>
      </c>
      <c r="C83" s="1" t="s">
        <v>188</v>
      </c>
      <c r="D83" s="1" t="s">
        <v>186</v>
      </c>
      <c r="E83" s="1" t="s">
        <v>15</v>
      </c>
      <c r="F83" s="1" t="s">
        <v>332</v>
      </c>
      <c r="G83" s="1" t="s">
        <v>185</v>
      </c>
    </row>
    <row r="84" spans="1:7" x14ac:dyDescent="0.25">
      <c r="A84" s="1" t="s">
        <v>336</v>
      </c>
      <c r="B84" s="1" t="s">
        <v>334</v>
      </c>
      <c r="C84" s="1" t="s">
        <v>188</v>
      </c>
      <c r="D84" s="1" t="s">
        <v>186</v>
      </c>
      <c r="E84" s="1" t="s">
        <v>15</v>
      </c>
      <c r="F84" s="1" t="s">
        <v>335</v>
      </c>
      <c r="G84" s="1"/>
    </row>
    <row r="85" spans="1:7" x14ac:dyDescent="0.25">
      <c r="A85" s="1" t="s">
        <v>189</v>
      </c>
      <c r="B85" s="1" t="s">
        <v>331</v>
      </c>
      <c r="C85" s="1" t="s">
        <v>190</v>
      </c>
      <c r="D85" s="1" t="s">
        <v>186</v>
      </c>
      <c r="E85" s="1" t="s">
        <v>15</v>
      </c>
      <c r="F85" s="1" t="s">
        <v>332</v>
      </c>
      <c r="G85" s="1" t="s">
        <v>185</v>
      </c>
    </row>
    <row r="86" spans="1:7" x14ac:dyDescent="0.25">
      <c r="A86" s="1" t="s">
        <v>337</v>
      </c>
      <c r="B86" s="1" t="s">
        <v>334</v>
      </c>
      <c r="C86" s="1" t="s">
        <v>190</v>
      </c>
      <c r="D86" s="1" t="s">
        <v>186</v>
      </c>
      <c r="E86" s="1" t="s">
        <v>15</v>
      </c>
      <c r="F86" s="1" t="s">
        <v>335</v>
      </c>
      <c r="G86" s="1"/>
    </row>
    <row r="87" spans="1:7" x14ac:dyDescent="0.25">
      <c r="A87" s="1" t="s">
        <v>338</v>
      </c>
      <c r="B87" s="1" t="s">
        <v>243</v>
      </c>
      <c r="C87" s="1" t="s">
        <v>190</v>
      </c>
      <c r="D87" s="1" t="s">
        <v>186</v>
      </c>
      <c r="E87" s="1" t="s">
        <v>15</v>
      </c>
      <c r="F87" s="1" t="s">
        <v>245</v>
      </c>
      <c r="G87" s="1" t="s">
        <v>339</v>
      </c>
    </row>
    <row r="88" spans="1:7" x14ac:dyDescent="0.25">
      <c r="A88" s="1" t="s">
        <v>340</v>
      </c>
      <c r="B88" s="1" t="s">
        <v>258</v>
      </c>
      <c r="C88" s="1" t="s">
        <v>19</v>
      </c>
      <c r="D88" s="1" t="s">
        <v>24</v>
      </c>
      <c r="E88" s="1" t="s">
        <v>15</v>
      </c>
      <c r="F88" s="1" t="s">
        <v>259</v>
      </c>
      <c r="G88" s="1" t="s">
        <v>260</v>
      </c>
    </row>
    <row r="89" spans="1:7" x14ac:dyDescent="0.25">
      <c r="A89" s="1" t="s">
        <v>341</v>
      </c>
      <c r="B89" s="1" t="s">
        <v>342</v>
      </c>
      <c r="C89" s="1" t="s">
        <v>167</v>
      </c>
      <c r="D89" s="1" t="s">
        <v>14</v>
      </c>
      <c r="E89" s="1" t="s">
        <v>15</v>
      </c>
      <c r="F89" s="1" t="s">
        <v>343</v>
      </c>
      <c r="G89" s="1"/>
    </row>
    <row r="90" spans="1:7" x14ac:dyDescent="0.25">
      <c r="A90" s="1" t="s">
        <v>344</v>
      </c>
      <c r="B90" s="1" t="s">
        <v>342</v>
      </c>
      <c r="C90" s="1" t="s">
        <v>19</v>
      </c>
      <c r="D90" s="1" t="s">
        <v>24</v>
      </c>
      <c r="E90" s="1" t="s">
        <v>15</v>
      </c>
      <c r="F90" s="1" t="s">
        <v>343</v>
      </c>
      <c r="G90" s="1"/>
    </row>
    <row r="91" spans="1:7" x14ac:dyDescent="0.25">
      <c r="A91" s="1" t="s">
        <v>345</v>
      </c>
      <c r="B91" s="1" t="s">
        <v>243</v>
      </c>
      <c r="C91" s="1" t="s">
        <v>346</v>
      </c>
      <c r="D91" s="1" t="s">
        <v>14</v>
      </c>
      <c r="E91" s="1" t="s">
        <v>15</v>
      </c>
      <c r="F91" s="1" t="s">
        <v>245</v>
      </c>
      <c r="G91" s="1" t="s">
        <v>246</v>
      </c>
    </row>
    <row r="92" spans="1:7" x14ac:dyDescent="0.25">
      <c r="A92" s="1" t="s">
        <v>100</v>
      </c>
      <c r="B92" s="1" t="s">
        <v>91</v>
      </c>
      <c r="C92" s="1" t="s">
        <v>163</v>
      </c>
      <c r="D92" s="1" t="s">
        <v>14</v>
      </c>
      <c r="E92" s="1" t="s">
        <v>15</v>
      </c>
      <c r="F92" s="1" t="s">
        <v>330</v>
      </c>
      <c r="G92" s="1" t="s">
        <v>90</v>
      </c>
    </row>
    <row r="93" spans="1:7" x14ac:dyDescent="0.25">
      <c r="A93" s="1" t="s">
        <v>347</v>
      </c>
      <c r="B93" s="1" t="s">
        <v>243</v>
      </c>
      <c r="C93" s="1" t="s">
        <v>163</v>
      </c>
      <c r="D93" s="1" t="s">
        <v>14</v>
      </c>
      <c r="E93" s="1" t="s">
        <v>15</v>
      </c>
      <c r="F93" s="1" t="s">
        <v>245</v>
      </c>
      <c r="G93" s="1" t="s">
        <v>339</v>
      </c>
    </row>
    <row r="94" spans="1:7" x14ac:dyDescent="0.25">
      <c r="A94" s="1" t="s">
        <v>102</v>
      </c>
      <c r="B94" s="1" t="s">
        <v>91</v>
      </c>
      <c r="C94" s="1" t="s">
        <v>171</v>
      </c>
      <c r="D94" s="1" t="s">
        <v>14</v>
      </c>
      <c r="E94" s="1" t="s">
        <v>15</v>
      </c>
      <c r="F94" s="1" t="s">
        <v>330</v>
      </c>
      <c r="G94" s="1" t="s">
        <v>90</v>
      </c>
    </row>
    <row r="95" spans="1:7" x14ac:dyDescent="0.25">
      <c r="A95" s="1" t="s">
        <v>348</v>
      </c>
      <c r="B95" s="1" t="s">
        <v>349</v>
      </c>
      <c r="C95" s="1" t="s">
        <v>350</v>
      </c>
      <c r="D95" s="1" t="s">
        <v>14</v>
      </c>
      <c r="E95" s="1" t="s">
        <v>15</v>
      </c>
      <c r="F95" s="1" t="s">
        <v>351</v>
      </c>
      <c r="G95" s="1"/>
    </row>
    <row r="96" spans="1:7" x14ac:dyDescent="0.25">
      <c r="A96" s="1" t="s">
        <v>352</v>
      </c>
      <c r="B96" s="1" t="s">
        <v>253</v>
      </c>
      <c r="C96" s="1" t="s">
        <v>353</v>
      </c>
      <c r="D96" s="1" t="s">
        <v>14</v>
      </c>
      <c r="E96" s="1" t="s">
        <v>15</v>
      </c>
      <c r="F96" s="1" t="s">
        <v>254</v>
      </c>
      <c r="G96" s="1" t="s">
        <v>255</v>
      </c>
    </row>
    <row r="97" spans="1:7" x14ac:dyDescent="0.25">
      <c r="A97" s="1" t="s">
        <v>352</v>
      </c>
      <c r="B97" s="1" t="s">
        <v>239</v>
      </c>
      <c r="C97" s="1" t="s">
        <v>353</v>
      </c>
      <c r="D97" s="1" t="s">
        <v>14</v>
      </c>
      <c r="E97" s="1" t="s">
        <v>15</v>
      </c>
      <c r="F97" s="1" t="s">
        <v>240</v>
      </c>
      <c r="G97" s="1" t="s">
        <v>241</v>
      </c>
    </row>
    <row r="98" spans="1:7" x14ac:dyDescent="0.25">
      <c r="A98" s="1" t="s">
        <v>105</v>
      </c>
      <c r="B98" s="1" t="s">
        <v>91</v>
      </c>
      <c r="C98" s="1" t="s">
        <v>19</v>
      </c>
      <c r="D98" s="1" t="s">
        <v>14</v>
      </c>
      <c r="E98" s="1" t="s">
        <v>15</v>
      </c>
      <c r="F98" s="1" t="s">
        <v>330</v>
      </c>
      <c r="G98" s="1" t="s">
        <v>90</v>
      </c>
    </row>
    <row r="99" spans="1:7" x14ac:dyDescent="0.25">
      <c r="A99" s="1" t="s">
        <v>106</v>
      </c>
      <c r="B99" s="1" t="s">
        <v>91</v>
      </c>
      <c r="C99" s="1" t="s">
        <v>19</v>
      </c>
      <c r="D99" s="1" t="s">
        <v>14</v>
      </c>
      <c r="E99" s="1" t="s">
        <v>15</v>
      </c>
      <c r="F99" s="1" t="s">
        <v>330</v>
      </c>
      <c r="G99" s="1" t="s">
        <v>90</v>
      </c>
    </row>
    <row r="100" spans="1:7" x14ac:dyDescent="0.25">
      <c r="A100" s="1" t="s">
        <v>354</v>
      </c>
      <c r="B100" s="1" t="s">
        <v>253</v>
      </c>
      <c r="C100" s="1" t="s">
        <v>19</v>
      </c>
      <c r="D100" s="1" t="s">
        <v>14</v>
      </c>
      <c r="E100" s="1" t="s">
        <v>15</v>
      </c>
      <c r="F100" s="1" t="s">
        <v>254</v>
      </c>
      <c r="G100" s="1" t="s">
        <v>255</v>
      </c>
    </row>
    <row r="101" spans="1:7" x14ac:dyDescent="0.25">
      <c r="A101" s="1" t="s">
        <v>355</v>
      </c>
      <c r="B101" s="1" t="s">
        <v>356</v>
      </c>
      <c r="C101" s="1" t="s">
        <v>19</v>
      </c>
      <c r="D101" s="1" t="s">
        <v>24</v>
      </c>
      <c r="E101" s="1" t="s">
        <v>15</v>
      </c>
      <c r="F101" s="1" t="s">
        <v>357</v>
      </c>
      <c r="G101" s="1"/>
    </row>
    <row r="102" spans="1:7" x14ac:dyDescent="0.25">
      <c r="A102" s="1" t="s">
        <v>358</v>
      </c>
      <c r="B102" s="1" t="s">
        <v>253</v>
      </c>
      <c r="C102" s="1" t="s">
        <v>19</v>
      </c>
      <c r="D102" s="1" t="s">
        <v>24</v>
      </c>
      <c r="E102" s="1" t="s">
        <v>15</v>
      </c>
      <c r="F102" s="1" t="s">
        <v>254</v>
      </c>
      <c r="G102" s="1" t="s">
        <v>255</v>
      </c>
    </row>
    <row r="103" spans="1:7" x14ac:dyDescent="0.25">
      <c r="A103" s="1" t="s">
        <v>358</v>
      </c>
      <c r="B103" s="1" t="s">
        <v>239</v>
      </c>
      <c r="C103" s="1" t="s">
        <v>19</v>
      </c>
      <c r="D103" s="1" t="s">
        <v>24</v>
      </c>
      <c r="E103" s="1" t="s">
        <v>15</v>
      </c>
      <c r="F103" s="1" t="s">
        <v>240</v>
      </c>
      <c r="G103" s="1" t="s">
        <v>241</v>
      </c>
    </row>
    <row r="104" spans="1:7" x14ac:dyDescent="0.25">
      <c r="A104" s="1" t="s">
        <v>359</v>
      </c>
      <c r="B104" s="1" t="s">
        <v>253</v>
      </c>
      <c r="C104" s="1" t="s">
        <v>19</v>
      </c>
      <c r="D104" s="1" t="s">
        <v>14</v>
      </c>
      <c r="E104" s="1" t="s">
        <v>15</v>
      </c>
      <c r="F104" s="1" t="s">
        <v>254</v>
      </c>
      <c r="G104" s="1" t="s">
        <v>255</v>
      </c>
    </row>
    <row r="105" spans="1:7" x14ac:dyDescent="0.25">
      <c r="A105" s="1" t="s">
        <v>360</v>
      </c>
      <c r="B105" s="1" t="s">
        <v>253</v>
      </c>
      <c r="C105" s="1" t="s">
        <v>19</v>
      </c>
      <c r="D105" s="1" t="s">
        <v>14</v>
      </c>
      <c r="E105" s="1" t="s">
        <v>15</v>
      </c>
      <c r="F105" s="1" t="s">
        <v>254</v>
      </c>
      <c r="G105" s="1" t="s">
        <v>255</v>
      </c>
    </row>
    <row r="106" spans="1:7" x14ac:dyDescent="0.25">
      <c r="A106" s="1" t="s">
        <v>361</v>
      </c>
      <c r="B106" s="1" t="s">
        <v>253</v>
      </c>
      <c r="C106" s="1" t="s">
        <v>19</v>
      </c>
      <c r="D106" s="1" t="s">
        <v>14</v>
      </c>
      <c r="E106" s="1" t="s">
        <v>15</v>
      </c>
      <c r="F106" s="1" t="s">
        <v>254</v>
      </c>
      <c r="G106" s="1" t="s">
        <v>255</v>
      </c>
    </row>
    <row r="107" spans="1:7" x14ac:dyDescent="0.25">
      <c r="A107" s="1" t="s">
        <v>361</v>
      </c>
      <c r="B107" s="1" t="s">
        <v>239</v>
      </c>
      <c r="C107" s="1" t="s">
        <v>19</v>
      </c>
      <c r="D107" s="1" t="s">
        <v>14</v>
      </c>
      <c r="E107" s="1" t="s">
        <v>15</v>
      </c>
      <c r="F107" s="1" t="s">
        <v>240</v>
      </c>
      <c r="G107" s="1" t="s">
        <v>241</v>
      </c>
    </row>
    <row r="108" spans="1:7" x14ac:dyDescent="0.25">
      <c r="A108" s="1" t="s">
        <v>362</v>
      </c>
      <c r="B108" s="1" t="s">
        <v>253</v>
      </c>
      <c r="C108" s="1" t="s">
        <v>19</v>
      </c>
      <c r="D108" s="1" t="s">
        <v>14</v>
      </c>
      <c r="E108" s="1" t="s">
        <v>15</v>
      </c>
      <c r="F108" s="1" t="s">
        <v>254</v>
      </c>
      <c r="G108" s="1" t="s">
        <v>255</v>
      </c>
    </row>
    <row r="109" spans="1:7" x14ac:dyDescent="0.25">
      <c r="A109" s="1" t="s">
        <v>363</v>
      </c>
      <c r="B109" s="1" t="s">
        <v>253</v>
      </c>
      <c r="C109" s="1" t="s">
        <v>19</v>
      </c>
      <c r="D109" s="1" t="s">
        <v>14</v>
      </c>
      <c r="E109" s="1" t="s">
        <v>15</v>
      </c>
      <c r="F109" s="1" t="s">
        <v>254</v>
      </c>
      <c r="G109" s="1" t="s">
        <v>255</v>
      </c>
    </row>
    <row r="110" spans="1:7" x14ac:dyDescent="0.25">
      <c r="A110" s="1" t="s">
        <v>364</v>
      </c>
      <c r="B110" s="1" t="s">
        <v>253</v>
      </c>
      <c r="C110" s="1" t="s">
        <v>19</v>
      </c>
      <c r="D110" s="1" t="s">
        <v>14</v>
      </c>
      <c r="E110" s="1" t="s">
        <v>15</v>
      </c>
      <c r="F110" s="1" t="s">
        <v>254</v>
      </c>
      <c r="G110" s="1" t="s">
        <v>255</v>
      </c>
    </row>
    <row r="111" spans="1:7" x14ac:dyDescent="0.25">
      <c r="A111" s="1" t="s">
        <v>364</v>
      </c>
      <c r="B111" s="1" t="s">
        <v>239</v>
      </c>
      <c r="C111" s="1" t="s">
        <v>19</v>
      </c>
      <c r="D111" s="1" t="s">
        <v>14</v>
      </c>
      <c r="E111" s="1" t="s">
        <v>15</v>
      </c>
      <c r="F111" s="1" t="s">
        <v>240</v>
      </c>
      <c r="G111" s="1" t="s">
        <v>241</v>
      </c>
    </row>
    <row r="112" spans="1:7" x14ac:dyDescent="0.25">
      <c r="A112" s="1" t="s">
        <v>365</v>
      </c>
      <c r="B112" s="1" t="s">
        <v>253</v>
      </c>
      <c r="C112" s="1" t="s">
        <v>19</v>
      </c>
      <c r="D112" s="1" t="s">
        <v>14</v>
      </c>
      <c r="E112" s="1" t="s">
        <v>15</v>
      </c>
      <c r="F112" s="1" t="s">
        <v>254</v>
      </c>
      <c r="G112" s="1" t="s">
        <v>255</v>
      </c>
    </row>
    <row r="113" spans="1:7" x14ac:dyDescent="0.25">
      <c r="A113" s="1" t="s">
        <v>366</v>
      </c>
      <c r="B113" s="1" t="s">
        <v>367</v>
      </c>
      <c r="C113" s="1" t="s">
        <v>19</v>
      </c>
      <c r="D113" s="1" t="s">
        <v>14</v>
      </c>
      <c r="E113" s="1" t="s">
        <v>15</v>
      </c>
      <c r="F113" s="1" t="s">
        <v>368</v>
      </c>
      <c r="G113" s="1" t="s">
        <v>255</v>
      </c>
    </row>
    <row r="114" spans="1:7" x14ac:dyDescent="0.25">
      <c r="A114" s="1" t="s">
        <v>369</v>
      </c>
      <c r="B114" s="1" t="s">
        <v>367</v>
      </c>
      <c r="C114" s="1" t="s">
        <v>19</v>
      </c>
      <c r="D114" s="1" t="s">
        <v>14</v>
      </c>
      <c r="E114" s="1" t="s">
        <v>15</v>
      </c>
      <c r="F114" s="1" t="s">
        <v>368</v>
      </c>
      <c r="G114" s="1" t="s">
        <v>255</v>
      </c>
    </row>
    <row r="115" spans="1:7" x14ac:dyDescent="0.25">
      <c r="A115" s="1" t="s">
        <v>370</v>
      </c>
      <c r="B115" s="1" t="s">
        <v>367</v>
      </c>
      <c r="C115" s="1" t="s">
        <v>19</v>
      </c>
      <c r="D115" s="1" t="s">
        <v>14</v>
      </c>
      <c r="E115" s="1" t="s">
        <v>15</v>
      </c>
      <c r="F115" s="1" t="s">
        <v>368</v>
      </c>
      <c r="G115" s="1" t="s">
        <v>255</v>
      </c>
    </row>
    <row r="116" spans="1:7" x14ac:dyDescent="0.25">
      <c r="A116" s="1" t="s">
        <v>371</v>
      </c>
      <c r="B116" s="1" t="s">
        <v>253</v>
      </c>
      <c r="C116" s="1" t="s">
        <v>19</v>
      </c>
      <c r="D116" s="1" t="s">
        <v>14</v>
      </c>
      <c r="E116" s="1" t="s">
        <v>15</v>
      </c>
      <c r="F116" s="1" t="s">
        <v>254</v>
      </c>
      <c r="G116" s="1" t="s">
        <v>255</v>
      </c>
    </row>
    <row r="117" spans="1:7" x14ac:dyDescent="0.25">
      <c r="A117" s="1" t="s">
        <v>372</v>
      </c>
      <c r="B117" s="1" t="s">
        <v>253</v>
      </c>
      <c r="C117" s="1" t="s">
        <v>19</v>
      </c>
      <c r="D117" s="1" t="s">
        <v>14</v>
      </c>
      <c r="E117" s="1" t="s">
        <v>15</v>
      </c>
      <c r="F117" s="1" t="s">
        <v>254</v>
      </c>
      <c r="G117" s="1" t="s">
        <v>255</v>
      </c>
    </row>
    <row r="118" spans="1:7" x14ac:dyDescent="0.25">
      <c r="A118" s="1" t="s">
        <v>373</v>
      </c>
      <c r="B118" s="1" t="s">
        <v>253</v>
      </c>
      <c r="C118" s="1" t="s">
        <v>19</v>
      </c>
      <c r="D118" s="1" t="s">
        <v>14</v>
      </c>
      <c r="E118" s="1" t="s">
        <v>15</v>
      </c>
      <c r="F118" s="1" t="s">
        <v>254</v>
      </c>
      <c r="G118" s="1" t="s">
        <v>255</v>
      </c>
    </row>
    <row r="119" spans="1:7" x14ac:dyDescent="0.25">
      <c r="A119" s="1" t="s">
        <v>373</v>
      </c>
      <c r="B119" s="1" t="s">
        <v>239</v>
      </c>
      <c r="C119" s="1" t="s">
        <v>19</v>
      </c>
      <c r="D119" s="1" t="s">
        <v>14</v>
      </c>
      <c r="E119" s="1" t="s">
        <v>15</v>
      </c>
      <c r="F119" s="1" t="s">
        <v>240</v>
      </c>
      <c r="G119" s="1" t="s">
        <v>241</v>
      </c>
    </row>
    <row r="120" spans="1:7" x14ac:dyDescent="0.25">
      <c r="A120" s="1" t="s">
        <v>374</v>
      </c>
      <c r="B120" s="1" t="s">
        <v>253</v>
      </c>
      <c r="C120" s="1" t="s">
        <v>19</v>
      </c>
      <c r="D120" s="1" t="s">
        <v>14</v>
      </c>
      <c r="E120" s="1" t="s">
        <v>15</v>
      </c>
      <c r="F120" s="1" t="s">
        <v>254</v>
      </c>
      <c r="G120" s="1" t="s">
        <v>255</v>
      </c>
    </row>
    <row r="121" spans="1:7" x14ac:dyDescent="0.25">
      <c r="A121" s="1" t="s">
        <v>374</v>
      </c>
      <c r="B121" s="1" t="s">
        <v>239</v>
      </c>
      <c r="C121" s="1" t="s">
        <v>19</v>
      </c>
      <c r="D121" s="1" t="s">
        <v>14</v>
      </c>
      <c r="E121" s="1" t="s">
        <v>15</v>
      </c>
      <c r="F121" s="1" t="s">
        <v>240</v>
      </c>
      <c r="G121" s="1" t="s">
        <v>241</v>
      </c>
    </row>
    <row r="122" spans="1:7" x14ac:dyDescent="0.25">
      <c r="A122" s="1" t="s">
        <v>375</v>
      </c>
      <c r="B122" s="1" t="s">
        <v>253</v>
      </c>
      <c r="C122" s="1" t="s">
        <v>19</v>
      </c>
      <c r="D122" s="1" t="s">
        <v>14</v>
      </c>
      <c r="E122" s="1" t="s">
        <v>15</v>
      </c>
      <c r="F122" s="1" t="s">
        <v>254</v>
      </c>
      <c r="G122" s="1" t="s">
        <v>255</v>
      </c>
    </row>
    <row r="123" spans="1:7" x14ac:dyDescent="0.25">
      <c r="A123" s="1" t="s">
        <v>376</v>
      </c>
      <c r="B123" s="1" t="s">
        <v>367</v>
      </c>
      <c r="C123" s="1" t="s">
        <v>19</v>
      </c>
      <c r="D123" s="1" t="s">
        <v>14</v>
      </c>
      <c r="E123" s="1" t="s">
        <v>15</v>
      </c>
      <c r="F123" s="1" t="s">
        <v>368</v>
      </c>
      <c r="G123" s="1" t="s">
        <v>255</v>
      </c>
    </row>
    <row r="124" spans="1:7" x14ac:dyDescent="0.25">
      <c r="A124" s="1" t="s">
        <v>377</v>
      </c>
      <c r="B124" s="1" t="s">
        <v>253</v>
      </c>
      <c r="C124" s="1" t="s">
        <v>19</v>
      </c>
      <c r="D124" s="1" t="s">
        <v>14</v>
      </c>
      <c r="E124" s="1" t="s">
        <v>15</v>
      </c>
      <c r="F124" s="1" t="s">
        <v>254</v>
      </c>
      <c r="G124" s="1" t="s">
        <v>255</v>
      </c>
    </row>
    <row r="125" spans="1:7" x14ac:dyDescent="0.25">
      <c r="A125" s="1" t="s">
        <v>377</v>
      </c>
      <c r="B125" s="1" t="s">
        <v>239</v>
      </c>
      <c r="C125" s="1" t="s">
        <v>19</v>
      </c>
      <c r="D125" s="1" t="s">
        <v>14</v>
      </c>
      <c r="E125" s="1" t="s">
        <v>15</v>
      </c>
      <c r="F125" s="1" t="s">
        <v>240</v>
      </c>
      <c r="G125" s="1" t="s">
        <v>241</v>
      </c>
    </row>
    <row r="126" spans="1:7" x14ac:dyDescent="0.25">
      <c r="A126" s="1" t="s">
        <v>378</v>
      </c>
      <c r="B126" s="1" t="s">
        <v>253</v>
      </c>
      <c r="C126" s="1" t="s">
        <v>19</v>
      </c>
      <c r="D126" s="1" t="s">
        <v>14</v>
      </c>
      <c r="E126" s="1" t="s">
        <v>15</v>
      </c>
      <c r="F126" s="1" t="s">
        <v>254</v>
      </c>
      <c r="G126" s="1" t="s">
        <v>255</v>
      </c>
    </row>
    <row r="127" spans="1:7" x14ac:dyDescent="0.25">
      <c r="A127" s="1" t="s">
        <v>379</v>
      </c>
      <c r="B127" s="1" t="s">
        <v>253</v>
      </c>
      <c r="C127" s="1" t="s">
        <v>19</v>
      </c>
      <c r="D127" s="1" t="s">
        <v>14</v>
      </c>
      <c r="E127" s="1" t="s">
        <v>15</v>
      </c>
      <c r="F127" s="1" t="s">
        <v>254</v>
      </c>
      <c r="G127" s="1" t="s">
        <v>255</v>
      </c>
    </row>
    <row r="128" spans="1:7" x14ac:dyDescent="0.25">
      <c r="A128" s="1" t="s">
        <v>379</v>
      </c>
      <c r="B128" s="1" t="s">
        <v>239</v>
      </c>
      <c r="C128" s="1" t="s">
        <v>19</v>
      </c>
      <c r="D128" s="1" t="s">
        <v>14</v>
      </c>
      <c r="E128" s="1" t="s">
        <v>15</v>
      </c>
      <c r="F128" s="1" t="s">
        <v>240</v>
      </c>
      <c r="G128" s="1" t="s">
        <v>241</v>
      </c>
    </row>
    <row r="129" spans="1:7" x14ac:dyDescent="0.25">
      <c r="A129" s="1" t="s">
        <v>380</v>
      </c>
      <c r="B129" s="1" t="s">
        <v>367</v>
      </c>
      <c r="C129" s="1" t="s">
        <v>19</v>
      </c>
      <c r="D129" s="1" t="s">
        <v>14</v>
      </c>
      <c r="E129" s="1" t="s">
        <v>15</v>
      </c>
      <c r="F129" s="1" t="s">
        <v>368</v>
      </c>
      <c r="G129" s="1" t="s">
        <v>255</v>
      </c>
    </row>
    <row r="130" spans="1:7" x14ac:dyDescent="0.25">
      <c r="A130" s="1" t="s">
        <v>381</v>
      </c>
      <c r="B130" s="1" t="s">
        <v>239</v>
      </c>
      <c r="C130" s="1" t="s">
        <v>19</v>
      </c>
      <c r="D130" s="1" t="s">
        <v>14</v>
      </c>
      <c r="E130" s="1" t="s">
        <v>15</v>
      </c>
      <c r="F130" s="1" t="s">
        <v>240</v>
      </c>
      <c r="G130" s="1" t="s">
        <v>241</v>
      </c>
    </row>
    <row r="131" spans="1:7" x14ac:dyDescent="0.25">
      <c r="A131" s="1" t="s">
        <v>382</v>
      </c>
      <c r="B131" s="1" t="s">
        <v>253</v>
      </c>
      <c r="C131" s="1" t="s">
        <v>19</v>
      </c>
      <c r="D131" s="1" t="s">
        <v>14</v>
      </c>
      <c r="E131" s="1" t="s">
        <v>15</v>
      </c>
      <c r="F131" s="1" t="s">
        <v>254</v>
      </c>
      <c r="G131" s="1" t="s">
        <v>255</v>
      </c>
    </row>
    <row r="132" spans="1:7" x14ac:dyDescent="0.25">
      <c r="A132" s="1" t="s">
        <v>383</v>
      </c>
      <c r="B132" s="1" t="s">
        <v>253</v>
      </c>
      <c r="C132" s="1" t="s">
        <v>19</v>
      </c>
      <c r="D132" s="1" t="s">
        <v>14</v>
      </c>
      <c r="E132" s="1" t="s">
        <v>15</v>
      </c>
      <c r="F132" s="1" t="s">
        <v>254</v>
      </c>
      <c r="G132" s="1" t="s">
        <v>255</v>
      </c>
    </row>
    <row r="133" spans="1:7" x14ac:dyDescent="0.25">
      <c r="A133" s="1" t="s">
        <v>383</v>
      </c>
      <c r="B133" s="1" t="s">
        <v>239</v>
      </c>
      <c r="C133" s="1" t="s">
        <v>19</v>
      </c>
      <c r="D133" s="1" t="s">
        <v>14</v>
      </c>
      <c r="E133" s="1" t="s">
        <v>15</v>
      </c>
      <c r="F133" s="1" t="s">
        <v>240</v>
      </c>
      <c r="G133" s="1" t="s">
        <v>241</v>
      </c>
    </row>
    <row r="134" spans="1:7" x14ac:dyDescent="0.25">
      <c r="A134" s="1" t="s">
        <v>384</v>
      </c>
      <c r="B134" s="1" t="s">
        <v>253</v>
      </c>
      <c r="C134" s="1" t="s">
        <v>19</v>
      </c>
      <c r="D134" s="1" t="s">
        <v>14</v>
      </c>
      <c r="E134" s="1" t="s">
        <v>15</v>
      </c>
      <c r="F134" s="1" t="s">
        <v>254</v>
      </c>
      <c r="G134" s="1" t="s">
        <v>255</v>
      </c>
    </row>
    <row r="135" spans="1:7" x14ac:dyDescent="0.25">
      <c r="A135" s="1" t="s">
        <v>384</v>
      </c>
      <c r="B135" s="1" t="s">
        <v>239</v>
      </c>
      <c r="C135" s="1" t="s">
        <v>19</v>
      </c>
      <c r="D135" s="1" t="s">
        <v>14</v>
      </c>
      <c r="E135" s="1" t="s">
        <v>15</v>
      </c>
      <c r="F135" s="1" t="s">
        <v>240</v>
      </c>
      <c r="G135" s="1" t="s">
        <v>241</v>
      </c>
    </row>
    <row r="136" spans="1:7" x14ac:dyDescent="0.25">
      <c r="A136" s="1" t="s">
        <v>385</v>
      </c>
      <c r="B136" s="1" t="s">
        <v>253</v>
      </c>
      <c r="C136" s="1" t="s">
        <v>386</v>
      </c>
      <c r="D136" s="1" t="s">
        <v>14</v>
      </c>
      <c r="E136" s="1" t="s">
        <v>15</v>
      </c>
      <c r="F136" s="1" t="s">
        <v>254</v>
      </c>
      <c r="G136" s="1" t="s">
        <v>255</v>
      </c>
    </row>
    <row r="137" spans="1:7" x14ac:dyDescent="0.25">
      <c r="A137" s="1" t="s">
        <v>387</v>
      </c>
      <c r="B137" s="1" t="s">
        <v>253</v>
      </c>
      <c r="C137" s="1" t="s">
        <v>19</v>
      </c>
      <c r="D137" s="1" t="s">
        <v>14</v>
      </c>
      <c r="E137" s="1" t="s">
        <v>15</v>
      </c>
      <c r="F137" s="1" t="s">
        <v>254</v>
      </c>
      <c r="G137" s="1" t="s">
        <v>255</v>
      </c>
    </row>
    <row r="138" spans="1:7" x14ac:dyDescent="0.25">
      <c r="A138" s="1" t="s">
        <v>387</v>
      </c>
      <c r="B138" s="1" t="s">
        <v>239</v>
      </c>
      <c r="C138" s="1" t="s">
        <v>19</v>
      </c>
      <c r="D138" s="1" t="s">
        <v>14</v>
      </c>
      <c r="E138" s="1" t="s">
        <v>15</v>
      </c>
      <c r="F138" s="1" t="s">
        <v>240</v>
      </c>
      <c r="G138" s="1" t="s">
        <v>241</v>
      </c>
    </row>
    <row r="139" spans="1:7" x14ac:dyDescent="0.25">
      <c r="A139" s="1" t="s">
        <v>388</v>
      </c>
      <c r="B139" s="1" t="s">
        <v>367</v>
      </c>
      <c r="C139" s="1" t="s">
        <v>19</v>
      </c>
      <c r="D139" s="1" t="s">
        <v>14</v>
      </c>
      <c r="E139" s="1" t="s">
        <v>15</v>
      </c>
      <c r="F139" s="1" t="s">
        <v>368</v>
      </c>
      <c r="G139" s="1" t="s">
        <v>255</v>
      </c>
    </row>
    <row r="140" spans="1:7" x14ac:dyDescent="0.25">
      <c r="A140" s="1" t="s">
        <v>389</v>
      </c>
      <c r="B140" s="1" t="s">
        <v>253</v>
      </c>
      <c r="C140" s="1" t="s">
        <v>19</v>
      </c>
      <c r="D140" s="1" t="s">
        <v>14</v>
      </c>
      <c r="E140" s="1" t="s">
        <v>15</v>
      </c>
      <c r="F140" s="1" t="s">
        <v>254</v>
      </c>
      <c r="G140" s="1" t="s">
        <v>255</v>
      </c>
    </row>
    <row r="141" spans="1:7" x14ac:dyDescent="0.25">
      <c r="A141" s="1" t="s">
        <v>389</v>
      </c>
      <c r="B141" s="1" t="s">
        <v>239</v>
      </c>
      <c r="C141" s="1" t="s">
        <v>19</v>
      </c>
      <c r="D141" s="1" t="s">
        <v>14</v>
      </c>
      <c r="E141" s="1" t="s">
        <v>15</v>
      </c>
      <c r="F141" s="1" t="s">
        <v>240</v>
      </c>
      <c r="G141" s="1" t="s">
        <v>241</v>
      </c>
    </row>
    <row r="142" spans="1:7" x14ac:dyDescent="0.25">
      <c r="A142" s="1" t="s">
        <v>390</v>
      </c>
      <c r="B142" s="1" t="s">
        <v>253</v>
      </c>
      <c r="C142" s="1" t="s">
        <v>19</v>
      </c>
      <c r="D142" s="1" t="s">
        <v>14</v>
      </c>
      <c r="E142" s="1" t="s">
        <v>15</v>
      </c>
      <c r="F142" s="1" t="s">
        <v>254</v>
      </c>
      <c r="G142" s="1" t="s">
        <v>255</v>
      </c>
    </row>
    <row r="143" spans="1:7" x14ac:dyDescent="0.25">
      <c r="A143" s="1" t="s">
        <v>391</v>
      </c>
      <c r="B143" s="1" t="s">
        <v>253</v>
      </c>
      <c r="C143" s="1" t="s">
        <v>386</v>
      </c>
      <c r="D143" s="1" t="s">
        <v>14</v>
      </c>
      <c r="E143" s="1" t="s">
        <v>15</v>
      </c>
      <c r="F143" s="1" t="s">
        <v>254</v>
      </c>
      <c r="G143" s="1" t="s">
        <v>255</v>
      </c>
    </row>
    <row r="144" spans="1:7" x14ac:dyDescent="0.25">
      <c r="A144" s="1" t="s">
        <v>392</v>
      </c>
      <c r="B144" s="1" t="s">
        <v>253</v>
      </c>
      <c r="C144" s="1" t="s">
        <v>19</v>
      </c>
      <c r="D144" s="1" t="s">
        <v>273</v>
      </c>
      <c r="E144" s="1" t="s">
        <v>15</v>
      </c>
      <c r="F144" s="1" t="s">
        <v>254</v>
      </c>
      <c r="G144" s="1" t="s">
        <v>255</v>
      </c>
    </row>
    <row r="145" spans="1:7" x14ac:dyDescent="0.25">
      <c r="A145" s="1" t="s">
        <v>393</v>
      </c>
      <c r="B145" s="1" t="s">
        <v>253</v>
      </c>
      <c r="C145" s="1" t="s">
        <v>386</v>
      </c>
      <c r="D145" s="1" t="s">
        <v>14</v>
      </c>
      <c r="E145" s="1" t="s">
        <v>15</v>
      </c>
      <c r="F145" s="1" t="s">
        <v>254</v>
      </c>
      <c r="G145" s="1" t="s">
        <v>394</v>
      </c>
    </row>
    <row r="146" spans="1:7" x14ac:dyDescent="0.25">
      <c r="A146" s="1" t="s">
        <v>395</v>
      </c>
      <c r="B146" s="1" t="s">
        <v>253</v>
      </c>
      <c r="C146" s="1" t="s">
        <v>19</v>
      </c>
      <c r="D146" s="1" t="s">
        <v>14</v>
      </c>
      <c r="E146" s="1" t="s">
        <v>15</v>
      </c>
      <c r="F146" s="1" t="s">
        <v>254</v>
      </c>
      <c r="G146" s="1" t="s">
        <v>255</v>
      </c>
    </row>
    <row r="147" spans="1:7" x14ac:dyDescent="0.25">
      <c r="A147" s="1" t="s">
        <v>396</v>
      </c>
      <c r="B147" s="1" t="s">
        <v>367</v>
      </c>
      <c r="C147" s="1" t="s">
        <v>19</v>
      </c>
      <c r="D147" s="1" t="s">
        <v>14</v>
      </c>
      <c r="E147" s="1" t="s">
        <v>15</v>
      </c>
      <c r="F147" s="1" t="s">
        <v>368</v>
      </c>
      <c r="G147" s="1" t="s">
        <v>255</v>
      </c>
    </row>
    <row r="148" spans="1:7" x14ac:dyDescent="0.25">
      <c r="A148" s="1" t="s">
        <v>397</v>
      </c>
      <c r="B148" s="1" t="s">
        <v>239</v>
      </c>
      <c r="C148" s="1" t="s">
        <v>19</v>
      </c>
      <c r="D148" s="1" t="s">
        <v>14</v>
      </c>
      <c r="E148" s="1" t="s">
        <v>15</v>
      </c>
      <c r="F148" s="1" t="s">
        <v>240</v>
      </c>
      <c r="G148" s="1" t="s">
        <v>241</v>
      </c>
    </row>
    <row r="149" spans="1:7" x14ac:dyDescent="0.25">
      <c r="A149" s="1" t="s">
        <v>398</v>
      </c>
      <c r="B149" s="1" t="s">
        <v>253</v>
      </c>
      <c r="C149" s="1" t="s">
        <v>19</v>
      </c>
      <c r="D149" s="1" t="s">
        <v>14</v>
      </c>
      <c r="E149" s="1" t="s">
        <v>15</v>
      </c>
      <c r="F149" s="1" t="s">
        <v>254</v>
      </c>
      <c r="G149" s="1" t="s">
        <v>255</v>
      </c>
    </row>
    <row r="150" spans="1:7" x14ac:dyDescent="0.25">
      <c r="A150" s="1" t="s">
        <v>398</v>
      </c>
      <c r="B150" s="1" t="s">
        <v>239</v>
      </c>
      <c r="C150" s="1" t="s">
        <v>19</v>
      </c>
      <c r="D150" s="1" t="s">
        <v>14</v>
      </c>
      <c r="E150" s="1" t="s">
        <v>15</v>
      </c>
      <c r="F150" s="1" t="s">
        <v>240</v>
      </c>
      <c r="G150" s="1" t="s">
        <v>241</v>
      </c>
    </row>
    <row r="151" spans="1:7" x14ac:dyDescent="0.25">
      <c r="A151" s="1" t="s">
        <v>399</v>
      </c>
      <c r="B151" s="1" t="s">
        <v>253</v>
      </c>
      <c r="C151" s="1" t="s">
        <v>19</v>
      </c>
      <c r="D151" s="1" t="s">
        <v>14</v>
      </c>
      <c r="E151" s="1" t="s">
        <v>15</v>
      </c>
      <c r="F151" s="1" t="s">
        <v>254</v>
      </c>
      <c r="G151" s="1" t="s">
        <v>255</v>
      </c>
    </row>
    <row r="152" spans="1:7" x14ac:dyDescent="0.25">
      <c r="A152" s="1" t="s">
        <v>400</v>
      </c>
      <c r="B152" s="1" t="s">
        <v>253</v>
      </c>
      <c r="C152" s="1" t="s">
        <v>19</v>
      </c>
      <c r="D152" s="1" t="s">
        <v>14</v>
      </c>
      <c r="E152" s="1" t="s">
        <v>15</v>
      </c>
      <c r="F152" s="1" t="s">
        <v>254</v>
      </c>
      <c r="G152" s="1" t="s">
        <v>255</v>
      </c>
    </row>
    <row r="153" spans="1:7" x14ac:dyDescent="0.25">
      <c r="A153" s="1" t="s">
        <v>401</v>
      </c>
      <c r="B153" s="1" t="s">
        <v>253</v>
      </c>
      <c r="C153" s="1" t="s">
        <v>19</v>
      </c>
      <c r="D153" s="1" t="s">
        <v>273</v>
      </c>
      <c r="E153" s="1" t="s">
        <v>15</v>
      </c>
      <c r="F153" s="1" t="s">
        <v>254</v>
      </c>
      <c r="G153" s="1" t="s">
        <v>255</v>
      </c>
    </row>
    <row r="154" spans="1:7" x14ac:dyDescent="0.25">
      <c r="A154" s="1" t="s">
        <v>402</v>
      </c>
      <c r="B154" s="1" t="s">
        <v>253</v>
      </c>
      <c r="C154" s="1" t="s">
        <v>19</v>
      </c>
      <c r="D154" s="1" t="s">
        <v>14</v>
      </c>
      <c r="E154" s="1" t="s">
        <v>15</v>
      </c>
      <c r="F154" s="1" t="s">
        <v>254</v>
      </c>
      <c r="G154" s="1" t="s">
        <v>255</v>
      </c>
    </row>
    <row r="155" spans="1:7" x14ac:dyDescent="0.25">
      <c r="A155" s="1" t="s">
        <v>402</v>
      </c>
      <c r="B155" s="1" t="s">
        <v>239</v>
      </c>
      <c r="C155" s="1" t="s">
        <v>19</v>
      </c>
      <c r="D155" s="1" t="s">
        <v>14</v>
      </c>
      <c r="E155" s="1" t="s">
        <v>15</v>
      </c>
      <c r="F155" s="1" t="s">
        <v>240</v>
      </c>
      <c r="G155" s="1" t="s">
        <v>241</v>
      </c>
    </row>
    <row r="156" spans="1:7" x14ac:dyDescent="0.25">
      <c r="A156" s="1" t="s">
        <v>403</v>
      </c>
      <c r="B156" s="1" t="s">
        <v>253</v>
      </c>
      <c r="C156" s="1" t="s">
        <v>19</v>
      </c>
      <c r="D156" s="1" t="s">
        <v>14</v>
      </c>
      <c r="E156" s="1" t="s">
        <v>15</v>
      </c>
      <c r="F156" s="1" t="s">
        <v>254</v>
      </c>
      <c r="G156" s="1" t="s">
        <v>394</v>
      </c>
    </row>
    <row r="157" spans="1:7" x14ac:dyDescent="0.25">
      <c r="A157" s="1" t="s">
        <v>404</v>
      </c>
      <c r="B157" s="1" t="s">
        <v>253</v>
      </c>
      <c r="C157" s="1" t="s">
        <v>19</v>
      </c>
      <c r="D157" s="1" t="s">
        <v>14</v>
      </c>
      <c r="E157" s="1" t="s">
        <v>15</v>
      </c>
      <c r="F157" s="1" t="s">
        <v>254</v>
      </c>
      <c r="G157" s="1" t="s">
        <v>255</v>
      </c>
    </row>
    <row r="158" spans="1:7" x14ac:dyDescent="0.25">
      <c r="A158" s="1" t="s">
        <v>405</v>
      </c>
      <c r="B158" s="1" t="s">
        <v>253</v>
      </c>
      <c r="C158" s="1" t="s">
        <v>19</v>
      </c>
      <c r="D158" s="1" t="s">
        <v>14</v>
      </c>
      <c r="E158" s="1" t="s">
        <v>15</v>
      </c>
      <c r="F158" s="1" t="s">
        <v>254</v>
      </c>
      <c r="G158" s="1" t="s">
        <v>255</v>
      </c>
    </row>
    <row r="159" spans="1:7" x14ac:dyDescent="0.25">
      <c r="A159" s="1" t="s">
        <v>405</v>
      </c>
      <c r="B159" s="1" t="s">
        <v>239</v>
      </c>
      <c r="C159" s="1" t="s">
        <v>19</v>
      </c>
      <c r="D159" s="1" t="s">
        <v>14</v>
      </c>
      <c r="E159" s="1" t="s">
        <v>15</v>
      </c>
      <c r="F159" s="1" t="s">
        <v>240</v>
      </c>
      <c r="G159" s="1" t="s">
        <v>241</v>
      </c>
    </row>
    <row r="160" spans="1:7" x14ac:dyDescent="0.25">
      <c r="A160" s="1" t="s">
        <v>406</v>
      </c>
      <c r="B160" s="1" t="s">
        <v>253</v>
      </c>
      <c r="C160" s="1" t="s">
        <v>19</v>
      </c>
      <c r="D160" s="1" t="s">
        <v>14</v>
      </c>
      <c r="E160" s="1" t="s">
        <v>15</v>
      </c>
      <c r="F160" s="1" t="s">
        <v>254</v>
      </c>
      <c r="G160" s="1" t="s">
        <v>255</v>
      </c>
    </row>
    <row r="161" spans="1:7" x14ac:dyDescent="0.25">
      <c r="A161" s="1" t="s">
        <v>406</v>
      </c>
      <c r="B161" s="1" t="s">
        <v>239</v>
      </c>
      <c r="C161" s="1" t="s">
        <v>19</v>
      </c>
      <c r="D161" s="1" t="s">
        <v>14</v>
      </c>
      <c r="E161" s="1" t="s">
        <v>15</v>
      </c>
      <c r="F161" s="1" t="s">
        <v>240</v>
      </c>
      <c r="G161" s="1" t="s">
        <v>241</v>
      </c>
    </row>
    <row r="162" spans="1:7" x14ac:dyDescent="0.25">
      <c r="A162" s="1" t="s">
        <v>407</v>
      </c>
      <c r="B162" s="1" t="s">
        <v>253</v>
      </c>
      <c r="C162" s="1" t="s">
        <v>19</v>
      </c>
      <c r="D162" s="1" t="s">
        <v>14</v>
      </c>
      <c r="E162" s="1" t="s">
        <v>15</v>
      </c>
      <c r="F162" s="1" t="s">
        <v>254</v>
      </c>
      <c r="G162" s="1" t="s">
        <v>255</v>
      </c>
    </row>
    <row r="163" spans="1:7" x14ac:dyDescent="0.25">
      <c r="A163" s="1" t="s">
        <v>408</v>
      </c>
      <c r="B163" s="1" t="s">
        <v>409</v>
      </c>
      <c r="C163" s="1" t="s">
        <v>19</v>
      </c>
      <c r="D163" s="1" t="s">
        <v>24</v>
      </c>
      <c r="E163" s="1" t="s">
        <v>15</v>
      </c>
      <c r="F163" s="1" t="s">
        <v>410</v>
      </c>
      <c r="G163" s="1"/>
    </row>
    <row r="164" spans="1:7" x14ac:dyDescent="0.25">
      <c r="A164" s="1" t="s">
        <v>411</v>
      </c>
      <c r="B164" s="1" t="s">
        <v>253</v>
      </c>
      <c r="C164" s="1" t="s">
        <v>19</v>
      </c>
      <c r="D164" s="1" t="s">
        <v>14</v>
      </c>
      <c r="E164" s="1" t="s">
        <v>15</v>
      </c>
      <c r="F164" s="1" t="s">
        <v>254</v>
      </c>
      <c r="G164" s="1" t="s">
        <v>255</v>
      </c>
    </row>
    <row r="165" spans="1:7" x14ac:dyDescent="0.25">
      <c r="A165" s="1" t="s">
        <v>411</v>
      </c>
      <c r="B165" s="1" t="s">
        <v>239</v>
      </c>
      <c r="C165" s="1" t="s">
        <v>19</v>
      </c>
      <c r="D165" s="1" t="s">
        <v>14</v>
      </c>
      <c r="E165" s="1" t="s">
        <v>15</v>
      </c>
      <c r="F165" s="1" t="s">
        <v>240</v>
      </c>
      <c r="G165" s="1" t="s">
        <v>241</v>
      </c>
    </row>
    <row r="166" spans="1:7" x14ac:dyDescent="0.25">
      <c r="A166" s="1" t="s">
        <v>412</v>
      </c>
      <c r="B166" s="1" t="s">
        <v>253</v>
      </c>
      <c r="C166" s="1" t="s">
        <v>19</v>
      </c>
      <c r="D166" s="1" t="s">
        <v>14</v>
      </c>
      <c r="E166" s="1" t="s">
        <v>15</v>
      </c>
      <c r="F166" s="1" t="s">
        <v>254</v>
      </c>
      <c r="G166" s="1" t="s">
        <v>255</v>
      </c>
    </row>
    <row r="167" spans="1:7" x14ac:dyDescent="0.25">
      <c r="A167" s="1" t="s">
        <v>412</v>
      </c>
      <c r="B167" s="1" t="s">
        <v>239</v>
      </c>
      <c r="C167" s="1" t="s">
        <v>19</v>
      </c>
      <c r="D167" s="1" t="s">
        <v>14</v>
      </c>
      <c r="E167" s="1" t="s">
        <v>15</v>
      </c>
      <c r="F167" s="1" t="s">
        <v>240</v>
      </c>
      <c r="G167" s="1" t="s">
        <v>241</v>
      </c>
    </row>
    <row r="168" spans="1:7" x14ac:dyDescent="0.25">
      <c r="A168" s="1" t="s">
        <v>413</v>
      </c>
      <c r="B168" s="1" t="s">
        <v>253</v>
      </c>
      <c r="C168" s="1" t="s">
        <v>19</v>
      </c>
      <c r="D168" s="1" t="s">
        <v>14</v>
      </c>
      <c r="E168" s="1" t="s">
        <v>15</v>
      </c>
      <c r="F168" s="1" t="s">
        <v>254</v>
      </c>
      <c r="G168" s="1" t="s">
        <v>255</v>
      </c>
    </row>
    <row r="169" spans="1:7" x14ac:dyDescent="0.25">
      <c r="A169" s="1" t="s">
        <v>413</v>
      </c>
      <c r="B169" s="1" t="s">
        <v>239</v>
      </c>
      <c r="C169" s="1" t="s">
        <v>19</v>
      </c>
      <c r="D169" s="1" t="s">
        <v>14</v>
      </c>
      <c r="E169" s="1" t="s">
        <v>15</v>
      </c>
      <c r="F169" s="1" t="s">
        <v>240</v>
      </c>
      <c r="G169" s="1" t="s">
        <v>241</v>
      </c>
    </row>
    <row r="170" spans="1:7" x14ac:dyDescent="0.25">
      <c r="A170" s="1" t="s">
        <v>414</v>
      </c>
      <c r="B170" s="1" t="s">
        <v>253</v>
      </c>
      <c r="C170" s="1" t="s">
        <v>19</v>
      </c>
      <c r="D170" s="1" t="s">
        <v>14</v>
      </c>
      <c r="E170" s="1" t="s">
        <v>15</v>
      </c>
      <c r="F170" s="1" t="s">
        <v>254</v>
      </c>
      <c r="G170" s="1" t="s">
        <v>255</v>
      </c>
    </row>
    <row r="171" spans="1:7" x14ac:dyDescent="0.25">
      <c r="A171" s="1" t="s">
        <v>415</v>
      </c>
      <c r="B171" s="1" t="s">
        <v>253</v>
      </c>
      <c r="C171" s="1" t="s">
        <v>19</v>
      </c>
      <c r="D171" s="1" t="s">
        <v>14</v>
      </c>
      <c r="E171" s="1" t="s">
        <v>15</v>
      </c>
      <c r="F171" s="1" t="s">
        <v>254</v>
      </c>
      <c r="G171" s="1" t="s">
        <v>255</v>
      </c>
    </row>
    <row r="172" spans="1:7" x14ac:dyDescent="0.25">
      <c r="A172" s="1" t="s">
        <v>416</v>
      </c>
      <c r="B172" s="1" t="s">
        <v>417</v>
      </c>
      <c r="C172" s="1" t="s">
        <v>19</v>
      </c>
      <c r="D172" s="1" t="s">
        <v>14</v>
      </c>
      <c r="E172" s="1" t="s">
        <v>15</v>
      </c>
      <c r="F172" s="1" t="s">
        <v>254</v>
      </c>
      <c r="G172" s="1" t="s">
        <v>260</v>
      </c>
    </row>
    <row r="173" spans="1:7" x14ac:dyDescent="0.25">
      <c r="A173" s="1" t="s">
        <v>416</v>
      </c>
      <c r="B173" s="1" t="s">
        <v>239</v>
      </c>
      <c r="C173" s="1" t="s">
        <v>19</v>
      </c>
      <c r="D173" s="1" t="s">
        <v>14</v>
      </c>
      <c r="E173" s="1" t="s">
        <v>15</v>
      </c>
      <c r="F173" s="1" t="s">
        <v>240</v>
      </c>
      <c r="G173" s="1" t="s">
        <v>241</v>
      </c>
    </row>
    <row r="174" spans="1:7" x14ac:dyDescent="0.25">
      <c r="A174" s="1" t="s">
        <v>418</v>
      </c>
      <c r="B174" s="1" t="s">
        <v>417</v>
      </c>
      <c r="C174" s="1" t="s">
        <v>19</v>
      </c>
      <c r="D174" s="1" t="s">
        <v>14</v>
      </c>
      <c r="E174" s="1" t="s">
        <v>15</v>
      </c>
      <c r="F174" s="1" t="s">
        <v>254</v>
      </c>
      <c r="G174" s="1" t="s">
        <v>260</v>
      </c>
    </row>
    <row r="175" spans="1:7" x14ac:dyDescent="0.25">
      <c r="A175" s="1" t="s">
        <v>419</v>
      </c>
      <c r="B175" s="1" t="s">
        <v>243</v>
      </c>
      <c r="C175" s="1" t="s">
        <v>19</v>
      </c>
      <c r="D175" s="1" t="s">
        <v>14</v>
      </c>
      <c r="E175" s="1" t="s">
        <v>15</v>
      </c>
      <c r="F175" s="1" t="s">
        <v>245</v>
      </c>
      <c r="G175" s="1" t="s">
        <v>246</v>
      </c>
    </row>
    <row r="176" spans="1:7" x14ac:dyDescent="0.25">
      <c r="A176" s="1" t="s">
        <v>107</v>
      </c>
      <c r="B176" s="1" t="s">
        <v>91</v>
      </c>
      <c r="C176" s="1" t="s">
        <v>19</v>
      </c>
      <c r="D176" s="1" t="s">
        <v>14</v>
      </c>
      <c r="E176" s="1" t="s">
        <v>15</v>
      </c>
      <c r="F176" s="1" t="s">
        <v>330</v>
      </c>
      <c r="G176" s="1" t="s">
        <v>90</v>
      </c>
    </row>
    <row r="177" spans="1:7" x14ac:dyDescent="0.25">
      <c r="A177" s="1" t="s">
        <v>108</v>
      </c>
      <c r="B177" s="1" t="s">
        <v>91</v>
      </c>
      <c r="C177" s="1" t="s">
        <v>19</v>
      </c>
      <c r="D177" s="1" t="s">
        <v>14</v>
      </c>
      <c r="E177" s="1" t="s">
        <v>15</v>
      </c>
      <c r="F177" s="1" t="s">
        <v>330</v>
      </c>
      <c r="G177" s="1" t="s">
        <v>90</v>
      </c>
    </row>
    <row r="178" spans="1:7" x14ac:dyDescent="0.25">
      <c r="A178" s="1" t="s">
        <v>420</v>
      </c>
      <c r="B178" s="1" t="s">
        <v>91</v>
      </c>
      <c r="C178" s="1" t="s">
        <v>19</v>
      </c>
      <c r="D178" s="1" t="s">
        <v>14</v>
      </c>
      <c r="E178" s="1" t="s">
        <v>15</v>
      </c>
      <c r="F178" s="1" t="s">
        <v>330</v>
      </c>
      <c r="G178" s="1" t="s">
        <v>90</v>
      </c>
    </row>
    <row r="179" spans="1:7" x14ac:dyDescent="0.25">
      <c r="A179" s="1" t="s">
        <v>109</v>
      </c>
      <c r="B179" s="1" t="s">
        <v>91</v>
      </c>
      <c r="C179" s="1" t="s">
        <v>19</v>
      </c>
      <c r="D179" s="1" t="s">
        <v>14</v>
      </c>
      <c r="E179" s="1" t="s">
        <v>15</v>
      </c>
      <c r="F179" s="1" t="s">
        <v>330</v>
      </c>
      <c r="G179" s="1" t="s">
        <v>90</v>
      </c>
    </row>
    <row r="180" spans="1:7" x14ac:dyDescent="0.25">
      <c r="A180" s="1" t="s">
        <v>110</v>
      </c>
      <c r="B180" s="1" t="s">
        <v>91</v>
      </c>
      <c r="C180" s="1" t="s">
        <v>19</v>
      </c>
      <c r="D180" s="1" t="s">
        <v>14</v>
      </c>
      <c r="E180" s="1" t="s">
        <v>15</v>
      </c>
      <c r="F180" s="1" t="s">
        <v>330</v>
      </c>
      <c r="G180" s="1" t="s">
        <v>90</v>
      </c>
    </row>
    <row r="181" spans="1:7" x14ac:dyDescent="0.25">
      <c r="A181" s="1" t="s">
        <v>111</v>
      </c>
      <c r="B181" s="1" t="s">
        <v>91</v>
      </c>
      <c r="C181" s="1" t="s">
        <v>19</v>
      </c>
      <c r="D181" s="1" t="s">
        <v>14</v>
      </c>
      <c r="E181" s="1" t="s">
        <v>15</v>
      </c>
      <c r="F181" s="1" t="s">
        <v>330</v>
      </c>
      <c r="G181" s="1" t="s">
        <v>90</v>
      </c>
    </row>
    <row r="182" spans="1:7" x14ac:dyDescent="0.25">
      <c r="A182" s="1" t="s">
        <v>112</v>
      </c>
      <c r="B182" s="1" t="s">
        <v>91</v>
      </c>
      <c r="C182" s="1" t="s">
        <v>19</v>
      </c>
      <c r="D182" s="1" t="s">
        <v>14</v>
      </c>
      <c r="E182" s="1" t="s">
        <v>15</v>
      </c>
      <c r="F182" s="1" t="s">
        <v>330</v>
      </c>
      <c r="G182" s="1" t="s">
        <v>90</v>
      </c>
    </row>
    <row r="183" spans="1:7" x14ac:dyDescent="0.25">
      <c r="A183" s="1" t="s">
        <v>113</v>
      </c>
      <c r="B183" s="1" t="s">
        <v>91</v>
      </c>
      <c r="C183" s="1" t="s">
        <v>19</v>
      </c>
      <c r="D183" s="1" t="s">
        <v>14</v>
      </c>
      <c r="E183" s="1" t="s">
        <v>15</v>
      </c>
      <c r="F183" s="1" t="s">
        <v>330</v>
      </c>
      <c r="G183" s="1" t="s">
        <v>90</v>
      </c>
    </row>
    <row r="184" spans="1:7" x14ac:dyDescent="0.25">
      <c r="A184" s="1" t="s">
        <v>114</v>
      </c>
      <c r="B184" s="1" t="s">
        <v>91</v>
      </c>
      <c r="C184" s="1" t="s">
        <v>19</v>
      </c>
      <c r="D184" s="1" t="s">
        <v>14</v>
      </c>
      <c r="E184" s="1" t="s">
        <v>15</v>
      </c>
      <c r="F184" s="1" t="s">
        <v>330</v>
      </c>
      <c r="G184" s="1" t="s">
        <v>90</v>
      </c>
    </row>
    <row r="185" spans="1:7" x14ac:dyDescent="0.25">
      <c r="A185" s="1" t="s">
        <v>115</v>
      </c>
      <c r="B185" s="1" t="s">
        <v>91</v>
      </c>
      <c r="C185" s="1" t="s">
        <v>19</v>
      </c>
      <c r="D185" s="1" t="s">
        <v>14</v>
      </c>
      <c r="E185" s="1" t="s">
        <v>15</v>
      </c>
      <c r="F185" s="1" t="s">
        <v>330</v>
      </c>
      <c r="G185" s="1" t="s">
        <v>90</v>
      </c>
    </row>
    <row r="186" spans="1:7" x14ac:dyDescent="0.25">
      <c r="A186" s="1" t="s">
        <v>116</v>
      </c>
      <c r="B186" s="1" t="s">
        <v>91</v>
      </c>
      <c r="C186" s="1" t="s">
        <v>19</v>
      </c>
      <c r="D186" s="1" t="s">
        <v>14</v>
      </c>
      <c r="E186" s="1" t="s">
        <v>15</v>
      </c>
      <c r="F186" s="1" t="s">
        <v>330</v>
      </c>
      <c r="G186" s="1" t="s">
        <v>90</v>
      </c>
    </row>
    <row r="187" spans="1:7" x14ac:dyDescent="0.25">
      <c r="A187" s="1" t="s">
        <v>117</v>
      </c>
      <c r="B187" s="1" t="s">
        <v>91</v>
      </c>
      <c r="C187" s="1" t="s">
        <v>19</v>
      </c>
      <c r="D187" s="1" t="s">
        <v>14</v>
      </c>
      <c r="E187" s="1" t="s">
        <v>15</v>
      </c>
      <c r="F187" s="1" t="s">
        <v>330</v>
      </c>
      <c r="G187" s="1" t="s">
        <v>90</v>
      </c>
    </row>
    <row r="188" spans="1:7" x14ac:dyDescent="0.25">
      <c r="A188" s="1" t="s">
        <v>118</v>
      </c>
      <c r="B188" s="1" t="s">
        <v>91</v>
      </c>
      <c r="C188" s="1" t="s">
        <v>19</v>
      </c>
      <c r="D188" s="1" t="s">
        <v>14</v>
      </c>
      <c r="E188" s="1" t="s">
        <v>15</v>
      </c>
      <c r="F188" s="1" t="s">
        <v>330</v>
      </c>
      <c r="G188" s="1" t="s">
        <v>90</v>
      </c>
    </row>
    <row r="189" spans="1:7" x14ac:dyDescent="0.25">
      <c r="A189" s="1" t="s">
        <v>421</v>
      </c>
      <c r="B189" s="1" t="s">
        <v>422</v>
      </c>
      <c r="C189" s="1" t="s">
        <v>19</v>
      </c>
      <c r="D189" s="1" t="s">
        <v>14</v>
      </c>
      <c r="E189" s="1" t="s">
        <v>15</v>
      </c>
      <c r="F189" s="1" t="s">
        <v>423</v>
      </c>
      <c r="G189" s="1"/>
    </row>
    <row r="190" spans="1:7" x14ac:dyDescent="0.25">
      <c r="A190" s="1" t="s">
        <v>424</v>
      </c>
      <c r="B190" s="1" t="s">
        <v>243</v>
      </c>
      <c r="C190" s="1" t="s">
        <v>19</v>
      </c>
      <c r="D190" s="1" t="s">
        <v>14</v>
      </c>
      <c r="E190" s="1" t="s">
        <v>15</v>
      </c>
      <c r="F190" s="1" t="s">
        <v>245</v>
      </c>
      <c r="G190" s="1" t="s">
        <v>246</v>
      </c>
    </row>
    <row r="191" spans="1:7" x14ac:dyDescent="0.25">
      <c r="A191" s="1" t="s">
        <v>425</v>
      </c>
      <c r="B191" s="1" t="s">
        <v>417</v>
      </c>
      <c r="C191" s="1" t="s">
        <v>19</v>
      </c>
      <c r="D191" s="1" t="s">
        <v>273</v>
      </c>
      <c r="E191" s="1" t="s">
        <v>15</v>
      </c>
      <c r="F191" s="1" t="s">
        <v>254</v>
      </c>
      <c r="G191" s="1" t="s">
        <v>260</v>
      </c>
    </row>
    <row r="192" spans="1:7" x14ac:dyDescent="0.25">
      <c r="A192" s="1" t="s">
        <v>426</v>
      </c>
      <c r="B192" s="1" t="s">
        <v>417</v>
      </c>
      <c r="C192" s="1" t="s">
        <v>19</v>
      </c>
      <c r="D192" s="1" t="s">
        <v>14</v>
      </c>
      <c r="E192" s="1" t="s">
        <v>15</v>
      </c>
      <c r="F192" s="1" t="s">
        <v>254</v>
      </c>
      <c r="G192" s="1" t="s">
        <v>260</v>
      </c>
    </row>
    <row r="193" spans="1:7" x14ac:dyDescent="0.25">
      <c r="A193" s="1" t="s">
        <v>427</v>
      </c>
      <c r="B193" s="1" t="s">
        <v>417</v>
      </c>
      <c r="C193" s="1" t="s">
        <v>19</v>
      </c>
      <c r="D193" s="1" t="s">
        <v>14</v>
      </c>
      <c r="E193" s="1" t="s">
        <v>15</v>
      </c>
      <c r="F193" s="1" t="s">
        <v>254</v>
      </c>
      <c r="G193" s="1" t="s">
        <v>260</v>
      </c>
    </row>
    <row r="194" spans="1:7" x14ac:dyDescent="0.25">
      <c r="A194" s="1" t="s">
        <v>428</v>
      </c>
      <c r="B194" s="1" t="s">
        <v>253</v>
      </c>
      <c r="C194" s="1" t="s">
        <v>19</v>
      </c>
      <c r="D194" s="1" t="s">
        <v>14</v>
      </c>
      <c r="E194" s="1" t="s">
        <v>15</v>
      </c>
      <c r="F194" s="1" t="s">
        <v>254</v>
      </c>
      <c r="G194" s="1" t="s">
        <v>255</v>
      </c>
    </row>
    <row r="195" spans="1:7" x14ac:dyDescent="0.25">
      <c r="A195" s="1" t="s">
        <v>429</v>
      </c>
      <c r="B195" s="1" t="s">
        <v>417</v>
      </c>
      <c r="C195" s="1" t="s">
        <v>19</v>
      </c>
      <c r="D195" s="1" t="s">
        <v>14</v>
      </c>
      <c r="E195" s="1" t="s">
        <v>15</v>
      </c>
      <c r="F195" s="1" t="s">
        <v>254</v>
      </c>
      <c r="G195" s="1" t="s">
        <v>260</v>
      </c>
    </row>
    <row r="196" spans="1:7" x14ac:dyDescent="0.25">
      <c r="A196" s="1" t="s">
        <v>430</v>
      </c>
      <c r="B196" s="1" t="s">
        <v>417</v>
      </c>
      <c r="C196" s="1" t="s">
        <v>19</v>
      </c>
      <c r="D196" s="1" t="s">
        <v>14</v>
      </c>
      <c r="E196" s="1" t="s">
        <v>15</v>
      </c>
      <c r="F196" s="1" t="s">
        <v>254</v>
      </c>
      <c r="G196" s="1" t="s">
        <v>260</v>
      </c>
    </row>
    <row r="197" spans="1:7" x14ac:dyDescent="0.25">
      <c r="A197" s="1" t="s">
        <v>430</v>
      </c>
      <c r="B197" s="1" t="s">
        <v>239</v>
      </c>
      <c r="C197" s="1" t="s">
        <v>19</v>
      </c>
      <c r="D197" s="1" t="s">
        <v>14</v>
      </c>
      <c r="E197" s="1" t="s">
        <v>15</v>
      </c>
      <c r="F197" s="1" t="s">
        <v>240</v>
      </c>
      <c r="G197" s="1" t="s">
        <v>241</v>
      </c>
    </row>
    <row r="198" spans="1:7" x14ac:dyDescent="0.25">
      <c r="A198" s="1" t="s">
        <v>431</v>
      </c>
      <c r="B198" s="1" t="s">
        <v>417</v>
      </c>
      <c r="C198" s="1" t="s">
        <v>19</v>
      </c>
      <c r="D198" s="1" t="s">
        <v>14</v>
      </c>
      <c r="E198" s="1" t="s">
        <v>15</v>
      </c>
      <c r="F198" s="1" t="s">
        <v>254</v>
      </c>
      <c r="G198" s="1" t="s">
        <v>260</v>
      </c>
    </row>
    <row r="199" spans="1:7" x14ac:dyDescent="0.25">
      <c r="A199" s="1" t="s">
        <v>431</v>
      </c>
      <c r="B199" s="1" t="s">
        <v>239</v>
      </c>
      <c r="C199" s="1" t="s">
        <v>19</v>
      </c>
      <c r="D199" s="1" t="s">
        <v>14</v>
      </c>
      <c r="E199" s="1" t="s">
        <v>15</v>
      </c>
      <c r="F199" s="1" t="s">
        <v>240</v>
      </c>
      <c r="G199" s="1" t="s">
        <v>241</v>
      </c>
    </row>
    <row r="200" spans="1:7" x14ac:dyDescent="0.25">
      <c r="A200" s="1" t="s">
        <v>432</v>
      </c>
      <c r="B200" s="1" t="s">
        <v>417</v>
      </c>
      <c r="C200" s="1" t="s">
        <v>19</v>
      </c>
      <c r="D200" s="1" t="s">
        <v>14</v>
      </c>
      <c r="E200" s="1" t="s">
        <v>15</v>
      </c>
      <c r="F200" s="1" t="s">
        <v>254</v>
      </c>
      <c r="G200" s="1" t="s">
        <v>260</v>
      </c>
    </row>
    <row r="201" spans="1:7" x14ac:dyDescent="0.25">
      <c r="A201" s="1" t="s">
        <v>433</v>
      </c>
      <c r="B201" s="1" t="s">
        <v>417</v>
      </c>
      <c r="C201" s="1" t="s">
        <v>19</v>
      </c>
      <c r="D201" s="1" t="s">
        <v>24</v>
      </c>
      <c r="E201" s="1" t="s">
        <v>15</v>
      </c>
      <c r="F201" s="1" t="s">
        <v>254</v>
      </c>
      <c r="G201" s="1" t="s">
        <v>260</v>
      </c>
    </row>
    <row r="202" spans="1:7" x14ac:dyDescent="0.25">
      <c r="A202" s="1" t="s">
        <v>433</v>
      </c>
      <c r="B202" s="1" t="s">
        <v>239</v>
      </c>
      <c r="C202" s="1" t="s">
        <v>19</v>
      </c>
      <c r="D202" s="1" t="s">
        <v>244</v>
      </c>
      <c r="E202" s="1" t="s">
        <v>15</v>
      </c>
      <c r="F202" s="1" t="s">
        <v>240</v>
      </c>
      <c r="G202" s="1" t="s">
        <v>241</v>
      </c>
    </row>
    <row r="203" spans="1:7" x14ac:dyDescent="0.25">
      <c r="A203" s="1" t="s">
        <v>434</v>
      </c>
      <c r="B203" s="1" t="s">
        <v>239</v>
      </c>
      <c r="C203" s="1" t="s">
        <v>19</v>
      </c>
      <c r="D203" s="1" t="s">
        <v>14</v>
      </c>
      <c r="E203" s="1" t="s">
        <v>15</v>
      </c>
      <c r="F203" s="1" t="s">
        <v>240</v>
      </c>
      <c r="G203" s="1" t="s">
        <v>241</v>
      </c>
    </row>
    <row r="204" spans="1:7" x14ac:dyDescent="0.25">
      <c r="A204" s="1" t="s">
        <v>435</v>
      </c>
      <c r="B204" s="1" t="s">
        <v>417</v>
      </c>
      <c r="C204" s="1" t="s">
        <v>19</v>
      </c>
      <c r="D204" s="1" t="s">
        <v>14</v>
      </c>
      <c r="E204" s="1" t="s">
        <v>15</v>
      </c>
      <c r="F204" s="1" t="s">
        <v>254</v>
      </c>
      <c r="G204" s="1" t="s">
        <v>260</v>
      </c>
    </row>
    <row r="205" spans="1:7" x14ac:dyDescent="0.25">
      <c r="A205" s="1" t="s">
        <v>436</v>
      </c>
      <c r="B205" s="1" t="s">
        <v>437</v>
      </c>
      <c r="C205" s="1" t="s">
        <v>19</v>
      </c>
      <c r="D205" s="1" t="s">
        <v>186</v>
      </c>
      <c r="E205" s="1" t="s">
        <v>15</v>
      </c>
      <c r="F205" s="1" t="s">
        <v>438</v>
      </c>
      <c r="G205" s="1"/>
    </row>
    <row r="206" spans="1:7" x14ac:dyDescent="0.25">
      <c r="A206" s="1" t="s">
        <v>439</v>
      </c>
      <c r="B206" s="1" t="s">
        <v>239</v>
      </c>
      <c r="C206" s="1" t="s">
        <v>19</v>
      </c>
      <c r="D206" s="1" t="s">
        <v>14</v>
      </c>
      <c r="E206" s="1" t="s">
        <v>15</v>
      </c>
      <c r="F206" s="1" t="s">
        <v>240</v>
      </c>
      <c r="G206" s="1" t="s">
        <v>241</v>
      </c>
    </row>
    <row r="207" spans="1:7" x14ac:dyDescent="0.25">
      <c r="A207" s="1" t="s">
        <v>440</v>
      </c>
      <c r="B207" s="1" t="s">
        <v>417</v>
      </c>
      <c r="C207" s="1" t="s">
        <v>19</v>
      </c>
      <c r="D207" s="1" t="s">
        <v>14</v>
      </c>
      <c r="E207" s="1" t="s">
        <v>15</v>
      </c>
      <c r="F207" s="1" t="s">
        <v>254</v>
      </c>
      <c r="G207" s="1" t="s">
        <v>260</v>
      </c>
    </row>
    <row r="208" spans="1:7" x14ac:dyDescent="0.25">
      <c r="A208" s="1" t="s">
        <v>440</v>
      </c>
      <c r="B208" s="1" t="s">
        <v>239</v>
      </c>
      <c r="C208" s="1" t="s">
        <v>19</v>
      </c>
      <c r="D208" s="1" t="s">
        <v>24</v>
      </c>
      <c r="E208" s="1" t="s">
        <v>15</v>
      </c>
      <c r="F208" s="1" t="s">
        <v>240</v>
      </c>
      <c r="G208" s="1" t="s">
        <v>241</v>
      </c>
    </row>
    <row r="209" spans="1:7" x14ac:dyDescent="0.25">
      <c r="A209" s="1" t="s">
        <v>441</v>
      </c>
      <c r="B209" s="1" t="s">
        <v>417</v>
      </c>
      <c r="C209" s="1" t="s">
        <v>19</v>
      </c>
      <c r="D209" s="1" t="s">
        <v>14</v>
      </c>
      <c r="E209" s="1" t="s">
        <v>15</v>
      </c>
      <c r="F209" s="1" t="s">
        <v>254</v>
      </c>
      <c r="G209" s="1" t="s">
        <v>260</v>
      </c>
    </row>
    <row r="210" spans="1:7" x14ac:dyDescent="0.25">
      <c r="A210" s="1" t="s">
        <v>442</v>
      </c>
      <c r="B210" s="1" t="s">
        <v>239</v>
      </c>
      <c r="C210" s="1" t="s">
        <v>19</v>
      </c>
      <c r="D210" s="1" t="s">
        <v>14</v>
      </c>
      <c r="E210" s="1" t="s">
        <v>15</v>
      </c>
      <c r="F210" s="1" t="s">
        <v>240</v>
      </c>
      <c r="G210" s="1" t="s">
        <v>241</v>
      </c>
    </row>
    <row r="211" spans="1:7" x14ac:dyDescent="0.25">
      <c r="A211" s="1" t="s">
        <v>443</v>
      </c>
      <c r="B211" s="1" t="s">
        <v>417</v>
      </c>
      <c r="C211" s="1" t="s">
        <v>19</v>
      </c>
      <c r="D211" s="1" t="s">
        <v>273</v>
      </c>
      <c r="E211" s="1" t="s">
        <v>15</v>
      </c>
      <c r="F211" s="1" t="s">
        <v>254</v>
      </c>
      <c r="G211" s="1" t="s">
        <v>260</v>
      </c>
    </row>
    <row r="212" spans="1:7" x14ac:dyDescent="0.25">
      <c r="A212" s="1" t="s">
        <v>444</v>
      </c>
      <c r="B212" s="1" t="s">
        <v>417</v>
      </c>
      <c r="C212" s="1" t="s">
        <v>19</v>
      </c>
      <c r="D212" s="1" t="s">
        <v>14</v>
      </c>
      <c r="E212" s="1" t="s">
        <v>15</v>
      </c>
      <c r="F212" s="1" t="s">
        <v>254</v>
      </c>
      <c r="G212" s="1" t="s">
        <v>260</v>
      </c>
    </row>
    <row r="213" spans="1:7" x14ac:dyDescent="0.25">
      <c r="A213" s="1" t="s">
        <v>444</v>
      </c>
      <c r="B213" s="1" t="s">
        <v>239</v>
      </c>
      <c r="C213" s="1" t="s">
        <v>19</v>
      </c>
      <c r="D213" s="1" t="s">
        <v>14</v>
      </c>
      <c r="E213" s="1" t="s">
        <v>15</v>
      </c>
      <c r="F213" s="1" t="s">
        <v>240</v>
      </c>
      <c r="G213" s="1" t="s">
        <v>241</v>
      </c>
    </row>
    <row r="214" spans="1:7" x14ac:dyDescent="0.25">
      <c r="A214" s="1" t="s">
        <v>445</v>
      </c>
      <c r="B214" s="1" t="s">
        <v>253</v>
      </c>
      <c r="C214" s="1" t="s">
        <v>19</v>
      </c>
      <c r="D214" s="1" t="s">
        <v>273</v>
      </c>
      <c r="E214" s="1" t="s">
        <v>15</v>
      </c>
      <c r="F214" s="1" t="s">
        <v>254</v>
      </c>
      <c r="G214" s="1" t="s">
        <v>255</v>
      </c>
    </row>
    <row r="215" spans="1:7" x14ac:dyDescent="0.25">
      <c r="A215" s="1" t="s">
        <v>446</v>
      </c>
      <c r="B215" s="1" t="s">
        <v>417</v>
      </c>
      <c r="C215" s="1" t="s">
        <v>19</v>
      </c>
      <c r="D215" s="1" t="s">
        <v>14</v>
      </c>
      <c r="E215" s="1" t="s">
        <v>15</v>
      </c>
      <c r="F215" s="1" t="s">
        <v>254</v>
      </c>
      <c r="G215" s="1" t="s">
        <v>260</v>
      </c>
    </row>
    <row r="216" spans="1:7" x14ac:dyDescent="0.25">
      <c r="A216" s="1" t="s">
        <v>447</v>
      </c>
      <c r="B216" s="1" t="s">
        <v>417</v>
      </c>
      <c r="C216" s="1" t="s">
        <v>19</v>
      </c>
      <c r="D216" s="1" t="s">
        <v>14</v>
      </c>
      <c r="E216" s="1" t="s">
        <v>15</v>
      </c>
      <c r="F216" s="1" t="s">
        <v>254</v>
      </c>
      <c r="G216" s="1" t="s">
        <v>260</v>
      </c>
    </row>
    <row r="217" spans="1:7" x14ac:dyDescent="0.25">
      <c r="A217" s="1" t="s">
        <v>447</v>
      </c>
      <c r="B217" s="1" t="s">
        <v>239</v>
      </c>
      <c r="C217" s="1" t="s">
        <v>19</v>
      </c>
      <c r="D217" s="1" t="s">
        <v>14</v>
      </c>
      <c r="E217" s="1" t="s">
        <v>15</v>
      </c>
      <c r="F217" s="1" t="s">
        <v>240</v>
      </c>
      <c r="G217" s="1" t="s">
        <v>241</v>
      </c>
    </row>
    <row r="218" spans="1:7" x14ac:dyDescent="0.25">
      <c r="A218" s="1" t="s">
        <v>448</v>
      </c>
      <c r="B218" s="1" t="s">
        <v>449</v>
      </c>
      <c r="C218" s="1" t="s">
        <v>450</v>
      </c>
      <c r="D218" s="1" t="s">
        <v>244</v>
      </c>
      <c r="E218" s="1" t="s">
        <v>15</v>
      </c>
      <c r="F218" s="1" t="s">
        <v>451</v>
      </c>
      <c r="G218" s="1"/>
    </row>
    <row r="219" spans="1:7" x14ac:dyDescent="0.25">
      <c r="A219" s="1" t="s">
        <v>93</v>
      </c>
      <c r="B219" s="1" t="s">
        <v>301</v>
      </c>
      <c r="C219" s="1" t="s">
        <v>19</v>
      </c>
      <c r="D219" s="1" t="s">
        <v>14</v>
      </c>
      <c r="E219" s="1" t="s">
        <v>15</v>
      </c>
      <c r="F219" s="1" t="s">
        <v>302</v>
      </c>
      <c r="G219" s="1" t="s">
        <v>303</v>
      </c>
    </row>
    <row r="220" spans="1:7" x14ac:dyDescent="0.25">
      <c r="A220" s="1" t="s">
        <v>119</v>
      </c>
      <c r="B220" s="1" t="s">
        <v>91</v>
      </c>
      <c r="C220" s="1" t="s">
        <v>19</v>
      </c>
      <c r="D220" s="1" t="s">
        <v>14</v>
      </c>
      <c r="E220" s="1" t="s">
        <v>15</v>
      </c>
      <c r="F220" s="1" t="s">
        <v>330</v>
      </c>
      <c r="G220" s="1" t="s">
        <v>90</v>
      </c>
    </row>
    <row r="221" spans="1:7" x14ac:dyDescent="0.25">
      <c r="A221" s="1" t="s">
        <v>120</v>
      </c>
      <c r="B221" s="1" t="s">
        <v>91</v>
      </c>
      <c r="C221" s="1" t="s">
        <v>19</v>
      </c>
      <c r="D221" s="1" t="s">
        <v>14</v>
      </c>
      <c r="E221" s="1" t="s">
        <v>15</v>
      </c>
      <c r="F221" s="1" t="s">
        <v>330</v>
      </c>
      <c r="G221" s="1" t="s">
        <v>90</v>
      </c>
    </row>
    <row r="222" spans="1:7" x14ac:dyDescent="0.25">
      <c r="A222" s="1" t="s">
        <v>121</v>
      </c>
      <c r="B222" s="1" t="s">
        <v>91</v>
      </c>
      <c r="C222" s="1" t="s">
        <v>19</v>
      </c>
      <c r="D222" s="1" t="s">
        <v>14</v>
      </c>
      <c r="E222" s="1" t="s">
        <v>15</v>
      </c>
      <c r="F222" s="1" t="s">
        <v>330</v>
      </c>
      <c r="G222" s="1" t="s">
        <v>90</v>
      </c>
    </row>
    <row r="223" spans="1:7" x14ac:dyDescent="0.25">
      <c r="A223" s="1" t="s">
        <v>122</v>
      </c>
      <c r="B223" s="1" t="s">
        <v>91</v>
      </c>
      <c r="C223" s="1" t="s">
        <v>19</v>
      </c>
      <c r="D223" s="1" t="s">
        <v>14</v>
      </c>
      <c r="E223" s="1" t="s">
        <v>15</v>
      </c>
      <c r="F223" s="1" t="s">
        <v>330</v>
      </c>
      <c r="G223" s="1" t="s">
        <v>90</v>
      </c>
    </row>
    <row r="224" spans="1:7" x14ac:dyDescent="0.25">
      <c r="A224" s="1" t="s">
        <v>123</v>
      </c>
      <c r="B224" s="1" t="s">
        <v>91</v>
      </c>
      <c r="C224" s="1" t="s">
        <v>19</v>
      </c>
      <c r="D224" s="1" t="s">
        <v>14</v>
      </c>
      <c r="E224" s="1" t="s">
        <v>15</v>
      </c>
      <c r="F224" s="1" t="s">
        <v>330</v>
      </c>
      <c r="G224" s="1" t="s">
        <v>90</v>
      </c>
    </row>
    <row r="225" spans="1:7" x14ac:dyDescent="0.25">
      <c r="A225" s="1" t="s">
        <v>124</v>
      </c>
      <c r="B225" s="1" t="s">
        <v>91</v>
      </c>
      <c r="C225" s="1" t="s">
        <v>19</v>
      </c>
      <c r="D225" s="1" t="s">
        <v>14</v>
      </c>
      <c r="E225" s="1" t="s">
        <v>15</v>
      </c>
      <c r="F225" s="1" t="s">
        <v>330</v>
      </c>
      <c r="G225" s="1" t="s">
        <v>90</v>
      </c>
    </row>
    <row r="226" spans="1:7" x14ac:dyDescent="0.25">
      <c r="A226" s="1" t="s">
        <v>125</v>
      </c>
      <c r="B226" s="1" t="s">
        <v>91</v>
      </c>
      <c r="C226" s="1" t="s">
        <v>19</v>
      </c>
      <c r="D226" s="1" t="s">
        <v>14</v>
      </c>
      <c r="E226" s="1" t="s">
        <v>15</v>
      </c>
      <c r="F226" s="1" t="s">
        <v>330</v>
      </c>
      <c r="G226" s="1" t="s">
        <v>90</v>
      </c>
    </row>
    <row r="227" spans="1:7" x14ac:dyDescent="0.25">
      <c r="A227" s="1" t="s">
        <v>126</v>
      </c>
      <c r="B227" s="1" t="s">
        <v>91</v>
      </c>
      <c r="C227" s="1" t="s">
        <v>19</v>
      </c>
      <c r="D227" s="1" t="s">
        <v>14</v>
      </c>
      <c r="E227" s="1" t="s">
        <v>15</v>
      </c>
      <c r="F227" s="1" t="s">
        <v>330</v>
      </c>
      <c r="G227" s="1" t="s">
        <v>90</v>
      </c>
    </row>
    <row r="228" spans="1:7" x14ac:dyDescent="0.25">
      <c r="A228" s="1" t="s">
        <v>452</v>
      </c>
      <c r="B228" s="1" t="s">
        <v>417</v>
      </c>
      <c r="C228" s="1" t="s">
        <v>19</v>
      </c>
      <c r="D228" s="1" t="s">
        <v>14</v>
      </c>
      <c r="E228" s="1" t="s">
        <v>15</v>
      </c>
      <c r="F228" s="1" t="s">
        <v>254</v>
      </c>
      <c r="G228" s="1" t="s">
        <v>260</v>
      </c>
    </row>
    <row r="229" spans="1:7" x14ac:dyDescent="0.25">
      <c r="A229" s="1" t="s">
        <v>452</v>
      </c>
      <c r="B229" s="1" t="s">
        <v>239</v>
      </c>
      <c r="C229" s="1" t="s">
        <v>19</v>
      </c>
      <c r="D229" s="1" t="s">
        <v>14</v>
      </c>
      <c r="E229" s="1" t="s">
        <v>15</v>
      </c>
      <c r="F229" s="1" t="s">
        <v>240</v>
      </c>
      <c r="G229" s="1" t="s">
        <v>241</v>
      </c>
    </row>
    <row r="230" spans="1:7" x14ac:dyDescent="0.25">
      <c r="A230" s="1" t="s">
        <v>453</v>
      </c>
      <c r="B230" s="1" t="s">
        <v>417</v>
      </c>
      <c r="C230" s="1" t="s">
        <v>19</v>
      </c>
      <c r="D230" s="1" t="s">
        <v>14</v>
      </c>
      <c r="E230" s="1" t="s">
        <v>15</v>
      </c>
      <c r="F230" s="1" t="s">
        <v>254</v>
      </c>
      <c r="G230" s="1" t="s">
        <v>260</v>
      </c>
    </row>
    <row r="231" spans="1:7" x14ac:dyDescent="0.25">
      <c r="A231" s="1" t="s">
        <v>453</v>
      </c>
      <c r="B231" s="1" t="s">
        <v>239</v>
      </c>
      <c r="C231" s="1" t="s">
        <v>19</v>
      </c>
      <c r="D231" s="1" t="s">
        <v>14</v>
      </c>
      <c r="E231" s="1" t="s">
        <v>15</v>
      </c>
      <c r="F231" s="1" t="s">
        <v>240</v>
      </c>
      <c r="G231" s="1" t="s">
        <v>241</v>
      </c>
    </row>
    <row r="232" spans="1:7" x14ac:dyDescent="0.25">
      <c r="A232" s="1" t="s">
        <v>454</v>
      </c>
      <c r="B232" s="1" t="s">
        <v>417</v>
      </c>
      <c r="C232" s="1" t="s">
        <v>19</v>
      </c>
      <c r="D232" s="1" t="s">
        <v>14</v>
      </c>
      <c r="E232" s="1" t="s">
        <v>15</v>
      </c>
      <c r="F232" s="1" t="s">
        <v>254</v>
      </c>
      <c r="G232" s="1" t="s">
        <v>260</v>
      </c>
    </row>
    <row r="233" spans="1:7" x14ac:dyDescent="0.25">
      <c r="A233" s="1" t="s">
        <v>454</v>
      </c>
      <c r="B233" s="1" t="s">
        <v>239</v>
      </c>
      <c r="C233" s="1" t="s">
        <v>19</v>
      </c>
      <c r="D233" s="1" t="s">
        <v>14</v>
      </c>
      <c r="E233" s="1" t="s">
        <v>15</v>
      </c>
      <c r="F233" s="1" t="s">
        <v>240</v>
      </c>
      <c r="G233" s="1" t="s">
        <v>241</v>
      </c>
    </row>
    <row r="234" spans="1:7" x14ac:dyDescent="0.25">
      <c r="A234" s="1" t="s">
        <v>455</v>
      </c>
      <c r="B234" s="1" t="s">
        <v>239</v>
      </c>
      <c r="C234" s="1" t="s">
        <v>19</v>
      </c>
      <c r="D234" s="1" t="s">
        <v>14</v>
      </c>
      <c r="E234" s="1" t="s">
        <v>15</v>
      </c>
      <c r="F234" s="1" t="s">
        <v>240</v>
      </c>
      <c r="G234" s="1" t="s">
        <v>241</v>
      </c>
    </row>
    <row r="235" spans="1:7" x14ac:dyDescent="0.25">
      <c r="A235" s="1" t="s">
        <v>456</v>
      </c>
      <c r="B235" s="1" t="s">
        <v>239</v>
      </c>
      <c r="C235" s="1" t="s">
        <v>19</v>
      </c>
      <c r="D235" s="1" t="s">
        <v>14</v>
      </c>
      <c r="E235" s="1" t="s">
        <v>15</v>
      </c>
      <c r="F235" s="1" t="s">
        <v>240</v>
      </c>
      <c r="G235" s="1" t="s">
        <v>241</v>
      </c>
    </row>
    <row r="236" spans="1:7" x14ac:dyDescent="0.25">
      <c r="A236" s="1" t="s">
        <v>457</v>
      </c>
      <c r="B236" s="1" t="s">
        <v>417</v>
      </c>
      <c r="C236" s="1" t="s">
        <v>19</v>
      </c>
      <c r="D236" s="1" t="s">
        <v>14</v>
      </c>
      <c r="E236" s="1" t="s">
        <v>15</v>
      </c>
      <c r="F236" s="1" t="s">
        <v>254</v>
      </c>
      <c r="G236" s="1" t="s">
        <v>260</v>
      </c>
    </row>
    <row r="237" spans="1:7" x14ac:dyDescent="0.25">
      <c r="A237" s="1" t="s">
        <v>457</v>
      </c>
      <c r="B237" s="1" t="s">
        <v>239</v>
      </c>
      <c r="C237" s="1" t="s">
        <v>19</v>
      </c>
      <c r="D237" s="1" t="s">
        <v>14</v>
      </c>
      <c r="E237" s="1" t="s">
        <v>15</v>
      </c>
      <c r="F237" s="1" t="s">
        <v>240</v>
      </c>
      <c r="G237" s="1" t="s">
        <v>241</v>
      </c>
    </row>
    <row r="238" spans="1:7" x14ac:dyDescent="0.25">
      <c r="A238" s="1" t="s">
        <v>458</v>
      </c>
      <c r="B238" s="1" t="s">
        <v>417</v>
      </c>
      <c r="C238" s="1" t="s">
        <v>19</v>
      </c>
      <c r="D238" s="1" t="s">
        <v>24</v>
      </c>
      <c r="E238" s="1" t="s">
        <v>15</v>
      </c>
      <c r="F238" s="1" t="s">
        <v>254</v>
      </c>
      <c r="G238" s="1" t="s">
        <v>260</v>
      </c>
    </row>
    <row r="239" spans="1:7" x14ac:dyDescent="0.25">
      <c r="A239" s="1" t="s">
        <v>458</v>
      </c>
      <c r="B239" s="1" t="s">
        <v>239</v>
      </c>
      <c r="C239" s="1" t="s">
        <v>19</v>
      </c>
      <c r="D239" s="1" t="s">
        <v>24</v>
      </c>
      <c r="E239" s="1" t="s">
        <v>15</v>
      </c>
      <c r="F239" s="1" t="s">
        <v>240</v>
      </c>
      <c r="G239" s="1" t="s">
        <v>241</v>
      </c>
    </row>
    <row r="240" spans="1:7" x14ac:dyDescent="0.25">
      <c r="A240" s="1" t="s">
        <v>459</v>
      </c>
      <c r="B240" s="1" t="s">
        <v>253</v>
      </c>
      <c r="C240" s="1" t="s">
        <v>19</v>
      </c>
      <c r="D240" s="1" t="s">
        <v>14</v>
      </c>
      <c r="E240" s="1" t="s">
        <v>15</v>
      </c>
      <c r="F240" s="1" t="s">
        <v>254</v>
      </c>
      <c r="G240" s="1" t="s">
        <v>255</v>
      </c>
    </row>
    <row r="241" spans="1:7" x14ac:dyDescent="0.25">
      <c r="A241" s="1" t="s">
        <v>459</v>
      </c>
      <c r="B241" s="1" t="s">
        <v>239</v>
      </c>
      <c r="C241" s="1" t="s">
        <v>19</v>
      </c>
      <c r="D241" s="1" t="s">
        <v>14</v>
      </c>
      <c r="E241" s="1" t="s">
        <v>15</v>
      </c>
      <c r="F241" s="1" t="s">
        <v>240</v>
      </c>
      <c r="G241" s="1" t="s">
        <v>241</v>
      </c>
    </row>
    <row r="242" spans="1:7" x14ac:dyDescent="0.25">
      <c r="A242" s="1" t="s">
        <v>460</v>
      </c>
      <c r="B242" s="1" t="s">
        <v>367</v>
      </c>
      <c r="C242" s="1" t="s">
        <v>19</v>
      </c>
      <c r="D242" s="1" t="s">
        <v>14</v>
      </c>
      <c r="E242" s="1" t="s">
        <v>15</v>
      </c>
      <c r="F242" s="1" t="s">
        <v>368</v>
      </c>
      <c r="G242" s="1" t="s">
        <v>255</v>
      </c>
    </row>
    <row r="243" spans="1:7" x14ac:dyDescent="0.25">
      <c r="A243" s="1" t="s">
        <v>461</v>
      </c>
      <c r="B243" s="1" t="s">
        <v>243</v>
      </c>
      <c r="C243" s="1" t="s">
        <v>19</v>
      </c>
      <c r="D243" s="1" t="s">
        <v>14</v>
      </c>
      <c r="E243" s="1" t="s">
        <v>15</v>
      </c>
      <c r="F243" s="1" t="s">
        <v>245</v>
      </c>
      <c r="G243" s="1" t="s">
        <v>339</v>
      </c>
    </row>
    <row r="244" spans="1:7" x14ac:dyDescent="0.25">
      <c r="A244" s="1" t="s">
        <v>461</v>
      </c>
      <c r="B244" s="1" t="s">
        <v>253</v>
      </c>
      <c r="C244" s="1" t="s">
        <v>19</v>
      </c>
      <c r="D244" s="1" t="s">
        <v>14</v>
      </c>
      <c r="E244" s="1" t="s">
        <v>15</v>
      </c>
      <c r="F244" s="1" t="s">
        <v>254</v>
      </c>
      <c r="G244" s="1" t="s">
        <v>255</v>
      </c>
    </row>
    <row r="245" spans="1:7" x14ac:dyDescent="0.25">
      <c r="A245" s="1" t="s">
        <v>462</v>
      </c>
      <c r="B245" s="1" t="s">
        <v>253</v>
      </c>
      <c r="C245" s="1" t="s">
        <v>19</v>
      </c>
      <c r="D245" s="1" t="s">
        <v>14</v>
      </c>
      <c r="E245" s="1" t="s">
        <v>15</v>
      </c>
      <c r="F245" s="1" t="s">
        <v>254</v>
      </c>
      <c r="G245" s="1" t="s">
        <v>255</v>
      </c>
    </row>
    <row r="246" spans="1:7" x14ac:dyDescent="0.25">
      <c r="A246" s="1" t="s">
        <v>462</v>
      </c>
      <c r="B246" s="1" t="s">
        <v>239</v>
      </c>
      <c r="C246" s="1" t="s">
        <v>19</v>
      </c>
      <c r="D246" s="1" t="s">
        <v>14</v>
      </c>
      <c r="E246" s="1" t="s">
        <v>15</v>
      </c>
      <c r="F246" s="1" t="s">
        <v>240</v>
      </c>
      <c r="G246" s="1" t="s">
        <v>241</v>
      </c>
    </row>
    <row r="247" spans="1:7" x14ac:dyDescent="0.25">
      <c r="A247" s="1" t="s">
        <v>463</v>
      </c>
      <c r="B247" s="1" t="s">
        <v>367</v>
      </c>
      <c r="C247" s="1" t="s">
        <v>19</v>
      </c>
      <c r="D247" s="1" t="s">
        <v>14</v>
      </c>
      <c r="E247" s="1" t="s">
        <v>15</v>
      </c>
      <c r="F247" s="1" t="s">
        <v>368</v>
      </c>
      <c r="G247" s="1" t="s">
        <v>255</v>
      </c>
    </row>
    <row r="248" spans="1:7" x14ac:dyDescent="0.25">
      <c r="A248" s="1" t="s">
        <v>464</v>
      </c>
      <c r="B248" s="1" t="s">
        <v>417</v>
      </c>
      <c r="C248" s="1" t="s">
        <v>19</v>
      </c>
      <c r="D248" s="1" t="s">
        <v>14</v>
      </c>
      <c r="E248" s="1" t="s">
        <v>15</v>
      </c>
      <c r="F248" s="1" t="s">
        <v>254</v>
      </c>
      <c r="G248" s="1" t="s">
        <v>260</v>
      </c>
    </row>
    <row r="249" spans="1:7" x14ac:dyDescent="0.25">
      <c r="A249" s="1" t="s">
        <v>464</v>
      </c>
      <c r="B249" s="1" t="s">
        <v>239</v>
      </c>
      <c r="C249" s="1" t="s">
        <v>19</v>
      </c>
      <c r="D249" s="1" t="s">
        <v>14</v>
      </c>
      <c r="E249" s="1" t="s">
        <v>15</v>
      </c>
      <c r="F249" s="1" t="s">
        <v>240</v>
      </c>
      <c r="G249" s="1" t="s">
        <v>241</v>
      </c>
    </row>
    <row r="250" spans="1:7" x14ac:dyDescent="0.25">
      <c r="A250" s="1" t="s">
        <v>465</v>
      </c>
      <c r="B250" s="1" t="s">
        <v>466</v>
      </c>
      <c r="C250" s="1" t="s">
        <v>19</v>
      </c>
      <c r="D250" s="1" t="s">
        <v>14</v>
      </c>
      <c r="E250" s="1" t="s">
        <v>15</v>
      </c>
      <c r="F250" s="1" t="s">
        <v>467</v>
      </c>
      <c r="G250" s="1"/>
    </row>
    <row r="251" spans="1:7" x14ac:dyDescent="0.25">
      <c r="A251" s="1" t="s">
        <v>468</v>
      </c>
      <c r="B251" s="1" t="s">
        <v>466</v>
      </c>
      <c r="C251" s="1" t="s">
        <v>19</v>
      </c>
      <c r="D251" s="1" t="s">
        <v>14</v>
      </c>
      <c r="E251" s="1" t="s">
        <v>15</v>
      </c>
      <c r="F251" s="1" t="s">
        <v>467</v>
      </c>
      <c r="G251" s="1"/>
    </row>
    <row r="252" spans="1:7" x14ac:dyDescent="0.25">
      <c r="A252" s="1" t="s">
        <v>469</v>
      </c>
      <c r="B252" s="1" t="s">
        <v>417</v>
      </c>
      <c r="C252" s="1" t="s">
        <v>19</v>
      </c>
      <c r="D252" s="1" t="s">
        <v>14</v>
      </c>
      <c r="E252" s="1" t="s">
        <v>15</v>
      </c>
      <c r="F252" s="1" t="s">
        <v>254</v>
      </c>
      <c r="G252" s="1" t="s">
        <v>260</v>
      </c>
    </row>
    <row r="253" spans="1:7" x14ac:dyDescent="0.25">
      <c r="A253" s="1" t="s">
        <v>469</v>
      </c>
      <c r="B253" s="1" t="s">
        <v>239</v>
      </c>
      <c r="C253" s="1" t="s">
        <v>19</v>
      </c>
      <c r="D253" s="1" t="s">
        <v>14</v>
      </c>
      <c r="E253" s="1" t="s">
        <v>15</v>
      </c>
      <c r="F253" s="1" t="s">
        <v>240</v>
      </c>
      <c r="G253" s="1" t="s">
        <v>241</v>
      </c>
    </row>
    <row r="254" spans="1:7" x14ac:dyDescent="0.25">
      <c r="A254" s="1" t="s">
        <v>470</v>
      </c>
      <c r="B254" s="1" t="s">
        <v>417</v>
      </c>
      <c r="C254" s="1" t="s">
        <v>19</v>
      </c>
      <c r="D254" s="1" t="s">
        <v>14</v>
      </c>
      <c r="E254" s="1" t="s">
        <v>15</v>
      </c>
      <c r="F254" s="1" t="s">
        <v>254</v>
      </c>
      <c r="G254" s="1" t="s">
        <v>260</v>
      </c>
    </row>
    <row r="255" spans="1:7" x14ac:dyDescent="0.25">
      <c r="A255" s="1" t="s">
        <v>471</v>
      </c>
      <c r="B255" s="1" t="s">
        <v>417</v>
      </c>
      <c r="C255" s="1" t="s">
        <v>19</v>
      </c>
      <c r="D255" s="1" t="s">
        <v>14</v>
      </c>
      <c r="E255" s="1" t="s">
        <v>15</v>
      </c>
      <c r="F255" s="1" t="s">
        <v>254</v>
      </c>
      <c r="G255" s="1" t="s">
        <v>260</v>
      </c>
    </row>
    <row r="256" spans="1:7" x14ac:dyDescent="0.25">
      <c r="A256" s="1" t="s">
        <v>472</v>
      </c>
      <c r="B256" s="1" t="s">
        <v>239</v>
      </c>
      <c r="C256" s="1" t="s">
        <v>19</v>
      </c>
      <c r="D256" s="1" t="s">
        <v>14</v>
      </c>
      <c r="E256" s="1" t="s">
        <v>15</v>
      </c>
      <c r="F256" s="1" t="s">
        <v>240</v>
      </c>
      <c r="G256" s="1" t="s">
        <v>241</v>
      </c>
    </row>
    <row r="257" spans="1:7" x14ac:dyDescent="0.25">
      <c r="A257" s="1" t="s">
        <v>130</v>
      </c>
      <c r="B257" s="1" t="s">
        <v>301</v>
      </c>
      <c r="C257" s="1" t="s">
        <v>13</v>
      </c>
      <c r="D257" s="1" t="s">
        <v>14</v>
      </c>
      <c r="E257" s="1" t="s">
        <v>15</v>
      </c>
      <c r="F257" s="1" t="s">
        <v>302</v>
      </c>
      <c r="G257" s="1" t="s">
        <v>303</v>
      </c>
    </row>
    <row r="258" spans="1:7" x14ac:dyDescent="0.25">
      <c r="A258" s="1" t="s">
        <v>473</v>
      </c>
      <c r="B258" s="1" t="s">
        <v>417</v>
      </c>
      <c r="C258" s="1" t="s">
        <v>19</v>
      </c>
      <c r="D258" s="1" t="s">
        <v>14</v>
      </c>
      <c r="E258" s="1" t="s">
        <v>15</v>
      </c>
      <c r="F258" s="1" t="s">
        <v>254</v>
      </c>
      <c r="G258" s="1" t="s">
        <v>260</v>
      </c>
    </row>
    <row r="259" spans="1:7" x14ac:dyDescent="0.25">
      <c r="A259" s="1" t="s">
        <v>473</v>
      </c>
      <c r="B259" s="1" t="s">
        <v>239</v>
      </c>
      <c r="C259" s="1" t="s">
        <v>19</v>
      </c>
      <c r="D259" s="1" t="s">
        <v>14</v>
      </c>
      <c r="E259" s="1" t="s">
        <v>15</v>
      </c>
      <c r="F259" s="1" t="s">
        <v>240</v>
      </c>
      <c r="G259" s="1" t="s">
        <v>241</v>
      </c>
    </row>
    <row r="260" spans="1:7" x14ac:dyDescent="0.25">
      <c r="A260" s="1" t="s">
        <v>474</v>
      </c>
      <c r="B260" s="1" t="s">
        <v>417</v>
      </c>
      <c r="C260" s="1" t="s">
        <v>19</v>
      </c>
      <c r="D260" s="1" t="s">
        <v>14</v>
      </c>
      <c r="E260" s="1" t="s">
        <v>15</v>
      </c>
      <c r="F260" s="1" t="s">
        <v>254</v>
      </c>
      <c r="G260" s="1" t="s">
        <v>260</v>
      </c>
    </row>
    <row r="261" spans="1:7" x14ac:dyDescent="0.25">
      <c r="A261" s="1" t="s">
        <v>474</v>
      </c>
      <c r="B261" s="1" t="s">
        <v>239</v>
      </c>
      <c r="C261" s="1" t="s">
        <v>19</v>
      </c>
      <c r="D261" s="1" t="s">
        <v>244</v>
      </c>
      <c r="E261" s="1" t="s">
        <v>15</v>
      </c>
      <c r="F261" s="1" t="s">
        <v>240</v>
      </c>
      <c r="G261" s="1" t="s">
        <v>241</v>
      </c>
    </row>
    <row r="262" spans="1:7" x14ac:dyDescent="0.25">
      <c r="A262" s="1" t="s">
        <v>475</v>
      </c>
      <c r="B262" s="1" t="s">
        <v>239</v>
      </c>
      <c r="C262" s="1" t="s">
        <v>19</v>
      </c>
      <c r="D262" s="1" t="s">
        <v>14</v>
      </c>
      <c r="E262" s="1" t="s">
        <v>15</v>
      </c>
      <c r="F262" s="1" t="s">
        <v>240</v>
      </c>
      <c r="G262" s="1" t="s">
        <v>241</v>
      </c>
    </row>
    <row r="263" spans="1:7" x14ac:dyDescent="0.25">
      <c r="A263" s="1" t="s">
        <v>476</v>
      </c>
      <c r="B263" s="1" t="s">
        <v>417</v>
      </c>
      <c r="C263" s="1" t="s">
        <v>19</v>
      </c>
      <c r="D263" s="1" t="s">
        <v>14</v>
      </c>
      <c r="E263" s="1" t="s">
        <v>15</v>
      </c>
      <c r="F263" s="1" t="s">
        <v>254</v>
      </c>
      <c r="G263" s="1" t="s">
        <v>260</v>
      </c>
    </row>
    <row r="264" spans="1:7" x14ac:dyDescent="0.25">
      <c r="A264" s="1" t="s">
        <v>477</v>
      </c>
      <c r="B264" s="1" t="s">
        <v>417</v>
      </c>
      <c r="C264" s="1" t="s">
        <v>19</v>
      </c>
      <c r="D264" s="1" t="s">
        <v>14</v>
      </c>
      <c r="E264" s="1" t="s">
        <v>15</v>
      </c>
      <c r="F264" s="1" t="s">
        <v>254</v>
      </c>
      <c r="G264" s="1" t="s">
        <v>260</v>
      </c>
    </row>
    <row r="265" spans="1:7" x14ac:dyDescent="0.25">
      <c r="A265" s="1" t="s">
        <v>477</v>
      </c>
      <c r="B265" s="1" t="s">
        <v>239</v>
      </c>
      <c r="C265" s="1" t="s">
        <v>19</v>
      </c>
      <c r="D265" s="1" t="s">
        <v>14</v>
      </c>
      <c r="E265" s="1" t="s">
        <v>15</v>
      </c>
      <c r="F265" s="1" t="s">
        <v>240</v>
      </c>
      <c r="G265" s="1" t="s">
        <v>241</v>
      </c>
    </row>
    <row r="266" spans="1:7" x14ac:dyDescent="0.25">
      <c r="A266" s="1" t="s">
        <v>478</v>
      </c>
      <c r="B266" s="1" t="s">
        <v>253</v>
      </c>
      <c r="C266" s="1" t="s">
        <v>19</v>
      </c>
      <c r="D266" s="1" t="s">
        <v>14</v>
      </c>
      <c r="E266" s="1" t="s">
        <v>15</v>
      </c>
      <c r="F266" s="1" t="s">
        <v>254</v>
      </c>
      <c r="G266" s="1" t="s">
        <v>255</v>
      </c>
    </row>
    <row r="267" spans="1:7" x14ac:dyDescent="0.25">
      <c r="A267" s="1" t="s">
        <v>479</v>
      </c>
      <c r="B267" s="1" t="s">
        <v>258</v>
      </c>
      <c r="C267" s="1" t="s">
        <v>386</v>
      </c>
      <c r="D267" s="1" t="s">
        <v>14</v>
      </c>
      <c r="E267" s="1" t="s">
        <v>15</v>
      </c>
      <c r="F267" s="1" t="s">
        <v>259</v>
      </c>
      <c r="G267" s="1" t="s">
        <v>480</v>
      </c>
    </row>
    <row r="268" spans="1:7" x14ac:dyDescent="0.25">
      <c r="A268" s="1" t="s">
        <v>481</v>
      </c>
      <c r="B268" s="1" t="s">
        <v>239</v>
      </c>
      <c r="C268" s="1" t="s">
        <v>19</v>
      </c>
      <c r="D268" s="1" t="s">
        <v>14</v>
      </c>
      <c r="E268" s="1" t="s">
        <v>15</v>
      </c>
      <c r="F268" s="1" t="s">
        <v>240</v>
      </c>
      <c r="G268" s="1" t="s">
        <v>241</v>
      </c>
    </row>
    <row r="269" spans="1:7" x14ac:dyDescent="0.25">
      <c r="A269" s="1" t="s">
        <v>127</v>
      </c>
      <c r="B269" s="1" t="s">
        <v>91</v>
      </c>
      <c r="C269" s="1" t="s">
        <v>19</v>
      </c>
      <c r="D269" s="1" t="s">
        <v>14</v>
      </c>
      <c r="E269" s="1" t="s">
        <v>15</v>
      </c>
      <c r="F269" s="1" t="s">
        <v>330</v>
      </c>
      <c r="G269" s="1" t="s">
        <v>90</v>
      </c>
    </row>
    <row r="270" spans="1:7" x14ac:dyDescent="0.25">
      <c r="A270" s="1" t="s">
        <v>482</v>
      </c>
      <c r="B270" s="1" t="s">
        <v>417</v>
      </c>
      <c r="C270" s="1" t="s">
        <v>19</v>
      </c>
      <c r="D270" s="1" t="s">
        <v>14</v>
      </c>
      <c r="E270" s="1" t="s">
        <v>15</v>
      </c>
      <c r="F270" s="1" t="s">
        <v>254</v>
      </c>
      <c r="G270" s="1" t="s">
        <v>260</v>
      </c>
    </row>
    <row r="271" spans="1:7" x14ac:dyDescent="0.25">
      <c r="A271" s="1" t="s">
        <v>483</v>
      </c>
      <c r="B271" s="1" t="s">
        <v>253</v>
      </c>
      <c r="C271" s="1" t="s">
        <v>19</v>
      </c>
      <c r="D271" s="1" t="s">
        <v>14</v>
      </c>
      <c r="E271" s="1" t="s">
        <v>15</v>
      </c>
      <c r="F271" s="1" t="s">
        <v>254</v>
      </c>
      <c r="G271" s="1" t="s">
        <v>255</v>
      </c>
    </row>
    <row r="272" spans="1:7" x14ac:dyDescent="0.25">
      <c r="A272" s="1" t="s">
        <v>484</v>
      </c>
      <c r="B272" s="1" t="s">
        <v>367</v>
      </c>
      <c r="C272" s="1" t="s">
        <v>19</v>
      </c>
      <c r="D272" s="1" t="s">
        <v>14</v>
      </c>
      <c r="E272" s="1" t="s">
        <v>15</v>
      </c>
      <c r="F272" s="1" t="s">
        <v>368</v>
      </c>
      <c r="G272" s="1" t="s">
        <v>255</v>
      </c>
    </row>
    <row r="273" spans="1:7" x14ac:dyDescent="0.25">
      <c r="A273" s="1" t="s">
        <v>485</v>
      </c>
      <c r="B273" s="1" t="s">
        <v>253</v>
      </c>
      <c r="C273" s="1" t="s">
        <v>19</v>
      </c>
      <c r="D273" s="1" t="s">
        <v>14</v>
      </c>
      <c r="E273" s="1" t="s">
        <v>15</v>
      </c>
      <c r="F273" s="1" t="s">
        <v>254</v>
      </c>
      <c r="G273" s="1" t="s">
        <v>255</v>
      </c>
    </row>
    <row r="274" spans="1:7" x14ac:dyDescent="0.25">
      <c r="A274" s="1" t="s">
        <v>486</v>
      </c>
      <c r="B274" s="1" t="s">
        <v>367</v>
      </c>
      <c r="C274" s="1" t="s">
        <v>19</v>
      </c>
      <c r="D274" s="1" t="s">
        <v>14</v>
      </c>
      <c r="E274" s="1" t="s">
        <v>15</v>
      </c>
      <c r="F274" s="1" t="s">
        <v>368</v>
      </c>
      <c r="G274" s="1" t="s">
        <v>255</v>
      </c>
    </row>
    <row r="275" spans="1:7" x14ac:dyDescent="0.25">
      <c r="A275" s="1" t="s">
        <v>487</v>
      </c>
      <c r="B275" s="1" t="s">
        <v>367</v>
      </c>
      <c r="C275" s="1" t="s">
        <v>19</v>
      </c>
      <c r="D275" s="1" t="s">
        <v>14</v>
      </c>
      <c r="E275" s="1" t="s">
        <v>15</v>
      </c>
      <c r="F275" s="1" t="s">
        <v>368</v>
      </c>
      <c r="G275" s="1" t="s">
        <v>255</v>
      </c>
    </row>
    <row r="276" spans="1:7" x14ac:dyDescent="0.25">
      <c r="A276" s="1" t="s">
        <v>488</v>
      </c>
      <c r="B276" s="1" t="s">
        <v>367</v>
      </c>
      <c r="C276" s="1" t="s">
        <v>19</v>
      </c>
      <c r="D276" s="1" t="s">
        <v>14</v>
      </c>
      <c r="E276" s="1" t="s">
        <v>15</v>
      </c>
      <c r="F276" s="1" t="s">
        <v>368</v>
      </c>
      <c r="G276" s="1" t="s">
        <v>255</v>
      </c>
    </row>
    <row r="277" spans="1:7" x14ac:dyDescent="0.25">
      <c r="A277" s="1" t="s">
        <v>489</v>
      </c>
      <c r="B277" s="1" t="s">
        <v>367</v>
      </c>
      <c r="C277" s="1" t="s">
        <v>19</v>
      </c>
      <c r="D277" s="1" t="s">
        <v>14</v>
      </c>
      <c r="E277" s="1" t="s">
        <v>15</v>
      </c>
      <c r="F277" s="1" t="s">
        <v>368</v>
      </c>
      <c r="G277" s="1" t="s">
        <v>255</v>
      </c>
    </row>
    <row r="278" spans="1:7" x14ac:dyDescent="0.25">
      <c r="A278" s="1" t="s">
        <v>490</v>
      </c>
      <c r="B278" s="1" t="s">
        <v>253</v>
      </c>
      <c r="C278" s="1" t="s">
        <v>19</v>
      </c>
      <c r="D278" s="1" t="s">
        <v>14</v>
      </c>
      <c r="E278" s="1" t="s">
        <v>15</v>
      </c>
      <c r="F278" s="1" t="s">
        <v>254</v>
      </c>
      <c r="G278" s="1" t="s">
        <v>255</v>
      </c>
    </row>
    <row r="279" spans="1:7" x14ac:dyDescent="0.25">
      <c r="A279" s="1" t="s">
        <v>491</v>
      </c>
      <c r="B279" s="1" t="s">
        <v>253</v>
      </c>
      <c r="C279" s="1" t="s">
        <v>19</v>
      </c>
      <c r="D279" s="1" t="s">
        <v>14</v>
      </c>
      <c r="E279" s="1" t="s">
        <v>15</v>
      </c>
      <c r="F279" s="1" t="s">
        <v>254</v>
      </c>
      <c r="G279" s="1" t="s">
        <v>255</v>
      </c>
    </row>
    <row r="280" spans="1:7" x14ac:dyDescent="0.25">
      <c r="A280" s="1" t="s">
        <v>492</v>
      </c>
      <c r="B280" s="1" t="s">
        <v>253</v>
      </c>
      <c r="C280" s="1" t="s">
        <v>19</v>
      </c>
      <c r="D280" s="1" t="s">
        <v>14</v>
      </c>
      <c r="E280" s="1" t="s">
        <v>15</v>
      </c>
      <c r="F280" s="1" t="s">
        <v>254</v>
      </c>
      <c r="G280" s="1" t="s">
        <v>255</v>
      </c>
    </row>
    <row r="281" spans="1:7" x14ac:dyDescent="0.25">
      <c r="A281" s="1" t="s">
        <v>493</v>
      </c>
      <c r="B281" s="1" t="s">
        <v>367</v>
      </c>
      <c r="C281" s="1" t="s">
        <v>19</v>
      </c>
      <c r="D281" s="1" t="s">
        <v>14</v>
      </c>
      <c r="E281" s="1" t="s">
        <v>15</v>
      </c>
      <c r="F281" s="1" t="s">
        <v>368</v>
      </c>
      <c r="G281" s="1" t="s">
        <v>255</v>
      </c>
    </row>
    <row r="282" spans="1:7" x14ac:dyDescent="0.25">
      <c r="A282" s="1" t="s">
        <v>494</v>
      </c>
      <c r="B282" s="1" t="s">
        <v>367</v>
      </c>
      <c r="C282" s="1" t="s">
        <v>19</v>
      </c>
      <c r="D282" s="1" t="s">
        <v>14</v>
      </c>
      <c r="E282" s="1" t="s">
        <v>15</v>
      </c>
      <c r="F282" s="1" t="s">
        <v>368</v>
      </c>
      <c r="G282" s="1" t="s">
        <v>255</v>
      </c>
    </row>
    <row r="283" spans="1:7" x14ac:dyDescent="0.25">
      <c r="A283" s="1" t="s">
        <v>495</v>
      </c>
      <c r="B283" s="1" t="s">
        <v>243</v>
      </c>
      <c r="C283" s="1" t="s">
        <v>386</v>
      </c>
      <c r="D283" s="1" t="s">
        <v>14</v>
      </c>
      <c r="E283" s="1" t="s">
        <v>15</v>
      </c>
      <c r="F283" s="1" t="s">
        <v>245</v>
      </c>
      <c r="G283" s="1" t="s">
        <v>246</v>
      </c>
    </row>
    <row r="284" spans="1:7" x14ac:dyDescent="0.25">
      <c r="A284" s="1" t="s">
        <v>496</v>
      </c>
      <c r="B284" s="1" t="s">
        <v>243</v>
      </c>
      <c r="C284" s="1" t="s">
        <v>19</v>
      </c>
      <c r="D284" s="1" t="s">
        <v>14</v>
      </c>
      <c r="E284" s="1" t="s">
        <v>15</v>
      </c>
      <c r="F284" s="1" t="s">
        <v>245</v>
      </c>
      <c r="G284" s="1" t="s">
        <v>246</v>
      </c>
    </row>
    <row r="285" spans="1:7" x14ac:dyDescent="0.25">
      <c r="A285" s="1" t="s">
        <v>497</v>
      </c>
      <c r="B285" s="1" t="s">
        <v>243</v>
      </c>
      <c r="C285" s="1" t="s">
        <v>386</v>
      </c>
      <c r="D285" s="1" t="s">
        <v>14</v>
      </c>
      <c r="E285" s="1" t="s">
        <v>15</v>
      </c>
      <c r="F285" s="1" t="s">
        <v>245</v>
      </c>
      <c r="G285" s="1" t="s">
        <v>246</v>
      </c>
    </row>
    <row r="286" spans="1:7" x14ac:dyDescent="0.25">
      <c r="A286" s="1" t="s">
        <v>498</v>
      </c>
      <c r="B286" s="1" t="s">
        <v>417</v>
      </c>
      <c r="C286" s="1" t="s">
        <v>19</v>
      </c>
      <c r="D286" s="1" t="s">
        <v>14</v>
      </c>
      <c r="E286" s="1" t="s">
        <v>15</v>
      </c>
      <c r="F286" s="1" t="s">
        <v>254</v>
      </c>
      <c r="G286" s="1" t="s">
        <v>260</v>
      </c>
    </row>
    <row r="287" spans="1:7" x14ac:dyDescent="0.25">
      <c r="A287" s="1" t="s">
        <v>498</v>
      </c>
      <c r="B287" s="1" t="s">
        <v>239</v>
      </c>
      <c r="C287" s="1" t="s">
        <v>19</v>
      </c>
      <c r="D287" s="1" t="s">
        <v>14</v>
      </c>
      <c r="E287" s="1" t="s">
        <v>15</v>
      </c>
      <c r="F287" s="1" t="s">
        <v>240</v>
      </c>
      <c r="G287" s="1" t="s">
        <v>241</v>
      </c>
    </row>
    <row r="288" spans="1:7" x14ac:dyDescent="0.25">
      <c r="A288" s="1" t="s">
        <v>499</v>
      </c>
      <c r="B288" s="1" t="s">
        <v>417</v>
      </c>
      <c r="C288" s="1" t="s">
        <v>19</v>
      </c>
      <c r="D288" s="1" t="s">
        <v>14</v>
      </c>
      <c r="E288" s="1" t="s">
        <v>15</v>
      </c>
      <c r="F288" s="1" t="s">
        <v>254</v>
      </c>
      <c r="G288" s="1" t="s">
        <v>260</v>
      </c>
    </row>
    <row r="289" spans="1:7" x14ac:dyDescent="0.25">
      <c r="A289" s="1" t="s">
        <v>499</v>
      </c>
      <c r="B289" s="1" t="s">
        <v>239</v>
      </c>
      <c r="C289" s="1" t="s">
        <v>19</v>
      </c>
      <c r="D289" s="1" t="s">
        <v>14</v>
      </c>
      <c r="E289" s="1" t="s">
        <v>15</v>
      </c>
      <c r="F289" s="1" t="s">
        <v>240</v>
      </c>
      <c r="G289" s="1" t="s">
        <v>241</v>
      </c>
    </row>
    <row r="290" spans="1:7" x14ac:dyDescent="0.25">
      <c r="A290" s="1" t="s">
        <v>500</v>
      </c>
      <c r="B290" s="1" t="s">
        <v>417</v>
      </c>
      <c r="C290" s="1" t="s">
        <v>19</v>
      </c>
      <c r="D290" s="1" t="s">
        <v>14</v>
      </c>
      <c r="E290" s="1" t="s">
        <v>15</v>
      </c>
      <c r="F290" s="1" t="s">
        <v>254</v>
      </c>
      <c r="G290" s="1" t="s">
        <v>260</v>
      </c>
    </row>
    <row r="291" spans="1:7" x14ac:dyDescent="0.25">
      <c r="A291" s="1" t="s">
        <v>501</v>
      </c>
      <c r="B291" s="1" t="s">
        <v>239</v>
      </c>
      <c r="C291" s="1" t="s">
        <v>19</v>
      </c>
      <c r="D291" s="1" t="s">
        <v>14</v>
      </c>
      <c r="E291" s="1" t="s">
        <v>15</v>
      </c>
      <c r="F291" s="1" t="s">
        <v>240</v>
      </c>
      <c r="G291" s="1" t="s">
        <v>241</v>
      </c>
    </row>
    <row r="292" spans="1:7" x14ac:dyDescent="0.25">
      <c r="A292" s="1" t="s">
        <v>502</v>
      </c>
      <c r="B292" s="1" t="s">
        <v>253</v>
      </c>
      <c r="C292" s="1" t="s">
        <v>19</v>
      </c>
      <c r="D292" s="1" t="s">
        <v>14</v>
      </c>
      <c r="E292" s="1" t="s">
        <v>15</v>
      </c>
      <c r="F292" s="1" t="s">
        <v>254</v>
      </c>
      <c r="G292" s="1" t="s">
        <v>255</v>
      </c>
    </row>
    <row r="293" spans="1:7" x14ac:dyDescent="0.25">
      <c r="A293" s="1" t="s">
        <v>503</v>
      </c>
      <c r="B293" s="1" t="s">
        <v>253</v>
      </c>
      <c r="C293" s="1" t="s">
        <v>19</v>
      </c>
      <c r="D293" s="1" t="s">
        <v>14</v>
      </c>
      <c r="E293" s="1" t="s">
        <v>15</v>
      </c>
      <c r="F293" s="1" t="s">
        <v>254</v>
      </c>
      <c r="G293" s="1" t="s">
        <v>255</v>
      </c>
    </row>
    <row r="294" spans="1:7" x14ac:dyDescent="0.25">
      <c r="A294" s="1" t="s">
        <v>504</v>
      </c>
      <c r="B294" s="1" t="s">
        <v>505</v>
      </c>
      <c r="C294" s="1" t="s">
        <v>19</v>
      </c>
      <c r="D294" s="1" t="s">
        <v>14</v>
      </c>
      <c r="E294" s="1" t="s">
        <v>15</v>
      </c>
      <c r="F294" s="1" t="s">
        <v>506</v>
      </c>
      <c r="G294" s="1"/>
    </row>
    <row r="295" spans="1:7" x14ac:dyDescent="0.25">
      <c r="A295" s="1" t="s">
        <v>507</v>
      </c>
      <c r="B295" s="1" t="s">
        <v>508</v>
      </c>
      <c r="C295" s="1" t="s">
        <v>19</v>
      </c>
      <c r="D295" s="1" t="s">
        <v>509</v>
      </c>
      <c r="E295" s="1" t="s">
        <v>15</v>
      </c>
      <c r="F295" s="1" t="s">
        <v>510</v>
      </c>
      <c r="G295" s="1" t="s">
        <v>511</v>
      </c>
    </row>
    <row r="296" spans="1:7" x14ac:dyDescent="0.25">
      <c r="A296" s="1" t="s">
        <v>512</v>
      </c>
      <c r="B296" s="1" t="s">
        <v>253</v>
      </c>
      <c r="C296" s="1" t="s">
        <v>19</v>
      </c>
      <c r="D296" s="1" t="s">
        <v>14</v>
      </c>
      <c r="E296" s="1" t="s">
        <v>15</v>
      </c>
      <c r="F296" s="1" t="s">
        <v>254</v>
      </c>
      <c r="G296" s="1" t="s">
        <v>255</v>
      </c>
    </row>
    <row r="297" spans="1:7" x14ac:dyDescent="0.25">
      <c r="A297" s="1" t="s">
        <v>513</v>
      </c>
      <c r="B297" s="1" t="s">
        <v>253</v>
      </c>
      <c r="C297" s="1" t="s">
        <v>19</v>
      </c>
      <c r="D297" s="1" t="s">
        <v>14</v>
      </c>
      <c r="E297" s="1" t="s">
        <v>15</v>
      </c>
      <c r="F297" s="1" t="s">
        <v>254</v>
      </c>
      <c r="G297" s="1" t="s">
        <v>255</v>
      </c>
    </row>
    <row r="298" spans="1:7" x14ac:dyDescent="0.25">
      <c r="A298" s="1" t="s">
        <v>514</v>
      </c>
      <c r="B298" s="1" t="s">
        <v>253</v>
      </c>
      <c r="C298" s="1" t="s">
        <v>19</v>
      </c>
      <c r="D298" s="1" t="s">
        <v>14</v>
      </c>
      <c r="E298" s="1" t="s">
        <v>15</v>
      </c>
      <c r="F298" s="1" t="s">
        <v>254</v>
      </c>
      <c r="G298" s="1" t="s">
        <v>255</v>
      </c>
    </row>
    <row r="299" spans="1:7" x14ac:dyDescent="0.25">
      <c r="A299" s="1" t="s">
        <v>514</v>
      </c>
      <c r="B299" s="1" t="s">
        <v>239</v>
      </c>
      <c r="C299" s="1" t="s">
        <v>19</v>
      </c>
      <c r="D299" s="1" t="s">
        <v>14</v>
      </c>
      <c r="E299" s="1" t="s">
        <v>15</v>
      </c>
      <c r="F299" s="1" t="s">
        <v>240</v>
      </c>
      <c r="G299" s="1" t="s">
        <v>241</v>
      </c>
    </row>
    <row r="300" spans="1:7" x14ac:dyDescent="0.25">
      <c r="A300" s="1" t="s">
        <v>515</v>
      </c>
      <c r="B300" s="1" t="s">
        <v>367</v>
      </c>
      <c r="C300" s="1" t="s">
        <v>19</v>
      </c>
      <c r="D300" s="1" t="s">
        <v>14</v>
      </c>
      <c r="E300" s="1" t="s">
        <v>15</v>
      </c>
      <c r="F300" s="1" t="s">
        <v>368</v>
      </c>
      <c r="G300" s="1" t="s">
        <v>255</v>
      </c>
    </row>
    <row r="301" spans="1:7" x14ac:dyDescent="0.25">
      <c r="A301" s="1" t="s">
        <v>516</v>
      </c>
      <c r="B301" s="1" t="s">
        <v>367</v>
      </c>
      <c r="C301" s="1" t="s">
        <v>19</v>
      </c>
      <c r="D301" s="1" t="s">
        <v>14</v>
      </c>
      <c r="E301" s="1" t="s">
        <v>15</v>
      </c>
      <c r="F301" s="1" t="s">
        <v>368</v>
      </c>
      <c r="G301" s="1" t="s">
        <v>255</v>
      </c>
    </row>
    <row r="302" spans="1:7" x14ac:dyDescent="0.25">
      <c r="A302" s="1" t="s">
        <v>517</v>
      </c>
      <c r="B302" s="1" t="s">
        <v>367</v>
      </c>
      <c r="C302" s="1" t="s">
        <v>19</v>
      </c>
      <c r="D302" s="1" t="s">
        <v>14</v>
      </c>
      <c r="E302" s="1" t="s">
        <v>15</v>
      </c>
      <c r="F302" s="1" t="s">
        <v>368</v>
      </c>
      <c r="G302" s="1" t="s">
        <v>255</v>
      </c>
    </row>
    <row r="303" spans="1:7" x14ac:dyDescent="0.25">
      <c r="A303" s="1" t="s">
        <v>518</v>
      </c>
      <c r="B303" s="1" t="s">
        <v>367</v>
      </c>
      <c r="C303" s="1" t="s">
        <v>19</v>
      </c>
      <c r="D303" s="1" t="s">
        <v>14</v>
      </c>
      <c r="E303" s="1" t="s">
        <v>15</v>
      </c>
      <c r="F303" s="1" t="s">
        <v>368</v>
      </c>
      <c r="G303" s="1" t="s">
        <v>255</v>
      </c>
    </row>
    <row r="304" spans="1:7" x14ac:dyDescent="0.25">
      <c r="A304" s="1" t="s">
        <v>519</v>
      </c>
      <c r="B304" s="1" t="s">
        <v>253</v>
      </c>
      <c r="C304" s="1" t="s">
        <v>19</v>
      </c>
      <c r="D304" s="1" t="s">
        <v>14</v>
      </c>
      <c r="E304" s="1" t="s">
        <v>15</v>
      </c>
      <c r="F304" s="1" t="s">
        <v>254</v>
      </c>
      <c r="G304" s="1" t="s">
        <v>255</v>
      </c>
    </row>
    <row r="305" spans="1:7" x14ac:dyDescent="0.25">
      <c r="A305" s="1" t="s">
        <v>520</v>
      </c>
      <c r="B305" s="1" t="s">
        <v>253</v>
      </c>
      <c r="C305" s="1" t="s">
        <v>19</v>
      </c>
      <c r="D305" s="1" t="s">
        <v>14</v>
      </c>
      <c r="E305" s="1" t="s">
        <v>15</v>
      </c>
      <c r="F305" s="1" t="s">
        <v>254</v>
      </c>
      <c r="G305" s="1" t="s">
        <v>255</v>
      </c>
    </row>
    <row r="306" spans="1:7" x14ac:dyDescent="0.25">
      <c r="A306" s="1" t="s">
        <v>521</v>
      </c>
      <c r="B306" s="1" t="s">
        <v>239</v>
      </c>
      <c r="C306" s="1" t="s">
        <v>19</v>
      </c>
      <c r="D306" s="1" t="s">
        <v>14</v>
      </c>
      <c r="E306" s="1" t="s">
        <v>15</v>
      </c>
      <c r="F306" s="1" t="s">
        <v>240</v>
      </c>
      <c r="G306" s="1" t="s">
        <v>241</v>
      </c>
    </row>
    <row r="307" spans="1:7" x14ac:dyDescent="0.25">
      <c r="A307" s="1" t="s">
        <v>522</v>
      </c>
      <c r="B307" s="1" t="s">
        <v>253</v>
      </c>
      <c r="C307" s="1" t="s">
        <v>19</v>
      </c>
      <c r="D307" s="1" t="s">
        <v>14</v>
      </c>
      <c r="E307" s="1" t="s">
        <v>15</v>
      </c>
      <c r="F307" s="1" t="s">
        <v>254</v>
      </c>
      <c r="G307" s="1" t="s">
        <v>255</v>
      </c>
    </row>
    <row r="308" spans="1:7" x14ac:dyDescent="0.25">
      <c r="A308" s="1" t="s">
        <v>523</v>
      </c>
      <c r="B308" s="1" t="s">
        <v>253</v>
      </c>
      <c r="C308" s="1" t="s">
        <v>19</v>
      </c>
      <c r="D308" s="1" t="s">
        <v>14</v>
      </c>
      <c r="E308" s="1" t="s">
        <v>15</v>
      </c>
      <c r="F308" s="1" t="s">
        <v>254</v>
      </c>
      <c r="G308" s="1" t="s">
        <v>255</v>
      </c>
    </row>
    <row r="309" spans="1:7" x14ac:dyDescent="0.25">
      <c r="A309" s="1" t="s">
        <v>524</v>
      </c>
      <c r="B309" s="1" t="s">
        <v>253</v>
      </c>
      <c r="C309" s="1" t="s">
        <v>19</v>
      </c>
      <c r="D309" s="1" t="s">
        <v>14</v>
      </c>
      <c r="E309" s="1" t="s">
        <v>15</v>
      </c>
      <c r="F309" s="1" t="s">
        <v>254</v>
      </c>
      <c r="G309" s="1" t="s">
        <v>255</v>
      </c>
    </row>
    <row r="310" spans="1:7" x14ac:dyDescent="0.25">
      <c r="A310" s="1" t="s">
        <v>525</v>
      </c>
      <c r="B310" s="1" t="s">
        <v>253</v>
      </c>
      <c r="C310" s="1" t="s">
        <v>19</v>
      </c>
      <c r="D310" s="1" t="s">
        <v>14</v>
      </c>
      <c r="E310" s="1" t="s">
        <v>15</v>
      </c>
      <c r="F310" s="1" t="s">
        <v>254</v>
      </c>
      <c r="G310" s="1" t="s">
        <v>255</v>
      </c>
    </row>
    <row r="311" spans="1:7" x14ac:dyDescent="0.25">
      <c r="A311" s="1" t="s">
        <v>526</v>
      </c>
      <c r="B311" s="1" t="s">
        <v>253</v>
      </c>
      <c r="C311" s="1" t="s">
        <v>19</v>
      </c>
      <c r="D311" s="1" t="s">
        <v>14</v>
      </c>
      <c r="E311" s="1" t="s">
        <v>15</v>
      </c>
      <c r="F311" s="1" t="s">
        <v>254</v>
      </c>
      <c r="G311" s="1" t="s">
        <v>255</v>
      </c>
    </row>
    <row r="312" spans="1:7" x14ac:dyDescent="0.25">
      <c r="A312" s="1" t="s">
        <v>527</v>
      </c>
      <c r="B312" s="1" t="s">
        <v>253</v>
      </c>
      <c r="C312" s="1" t="s">
        <v>19</v>
      </c>
      <c r="D312" s="1" t="s">
        <v>14</v>
      </c>
      <c r="E312" s="1" t="s">
        <v>15</v>
      </c>
      <c r="F312" s="1" t="s">
        <v>254</v>
      </c>
      <c r="G312" s="1" t="s">
        <v>255</v>
      </c>
    </row>
    <row r="313" spans="1:7" x14ac:dyDescent="0.25">
      <c r="A313" s="1" t="s">
        <v>528</v>
      </c>
      <c r="B313" s="1" t="s">
        <v>253</v>
      </c>
      <c r="C313" s="1" t="s">
        <v>19</v>
      </c>
      <c r="D313" s="1" t="s">
        <v>273</v>
      </c>
      <c r="E313" s="1" t="s">
        <v>15</v>
      </c>
      <c r="F313" s="1" t="s">
        <v>254</v>
      </c>
      <c r="G313" s="1" t="s">
        <v>255</v>
      </c>
    </row>
    <row r="314" spans="1:7" x14ac:dyDescent="0.25">
      <c r="A314" s="1" t="s">
        <v>529</v>
      </c>
      <c r="B314" s="1" t="s">
        <v>253</v>
      </c>
      <c r="C314" s="1" t="s">
        <v>19</v>
      </c>
      <c r="D314" s="1" t="s">
        <v>14</v>
      </c>
      <c r="E314" s="1" t="s">
        <v>15</v>
      </c>
      <c r="F314" s="1" t="s">
        <v>254</v>
      </c>
      <c r="G314" s="1" t="s">
        <v>255</v>
      </c>
    </row>
    <row r="315" spans="1:7" x14ac:dyDescent="0.25">
      <c r="A315" s="1" t="s">
        <v>529</v>
      </c>
      <c r="B315" s="1" t="s">
        <v>239</v>
      </c>
      <c r="C315" s="1" t="s">
        <v>19</v>
      </c>
      <c r="D315" s="1" t="s">
        <v>14</v>
      </c>
      <c r="E315" s="1" t="s">
        <v>15</v>
      </c>
      <c r="F315" s="1" t="s">
        <v>240</v>
      </c>
      <c r="G315" s="1" t="s">
        <v>241</v>
      </c>
    </row>
    <row r="316" spans="1:7" x14ac:dyDescent="0.25">
      <c r="A316" s="1" t="s">
        <v>530</v>
      </c>
      <c r="B316" s="1" t="s">
        <v>367</v>
      </c>
      <c r="C316" s="1" t="s">
        <v>19</v>
      </c>
      <c r="D316" s="1" t="s">
        <v>14</v>
      </c>
      <c r="E316" s="1" t="s">
        <v>15</v>
      </c>
      <c r="F316" s="1" t="s">
        <v>368</v>
      </c>
      <c r="G316" s="1" t="s">
        <v>255</v>
      </c>
    </row>
    <row r="317" spans="1:7" x14ac:dyDescent="0.25">
      <c r="A317" s="1" t="s">
        <v>531</v>
      </c>
      <c r="B317" s="1" t="s">
        <v>253</v>
      </c>
      <c r="C317" s="1" t="s">
        <v>19</v>
      </c>
      <c r="D317" s="1" t="s">
        <v>14</v>
      </c>
      <c r="E317" s="1" t="s">
        <v>15</v>
      </c>
      <c r="F317" s="1" t="s">
        <v>254</v>
      </c>
      <c r="G317" s="1" t="s">
        <v>255</v>
      </c>
    </row>
    <row r="318" spans="1:7" x14ac:dyDescent="0.25">
      <c r="A318" s="1" t="s">
        <v>532</v>
      </c>
      <c r="B318" s="1" t="s">
        <v>253</v>
      </c>
      <c r="C318" s="1" t="s">
        <v>19</v>
      </c>
      <c r="D318" s="1" t="s">
        <v>14</v>
      </c>
      <c r="E318" s="1" t="s">
        <v>15</v>
      </c>
      <c r="F318" s="1" t="s">
        <v>254</v>
      </c>
      <c r="G318" s="1" t="s">
        <v>255</v>
      </c>
    </row>
    <row r="319" spans="1:7" x14ac:dyDescent="0.25">
      <c r="A319" s="1" t="s">
        <v>533</v>
      </c>
      <c r="B319" s="1" t="s">
        <v>253</v>
      </c>
      <c r="C319" s="1" t="s">
        <v>19</v>
      </c>
      <c r="D319" s="1" t="s">
        <v>14</v>
      </c>
      <c r="E319" s="1" t="s">
        <v>15</v>
      </c>
      <c r="F319" s="1" t="s">
        <v>254</v>
      </c>
      <c r="G319" s="1" t="s">
        <v>255</v>
      </c>
    </row>
    <row r="320" spans="1:7" x14ac:dyDescent="0.25">
      <c r="A320" s="1" t="s">
        <v>534</v>
      </c>
      <c r="B320" s="1" t="s">
        <v>253</v>
      </c>
      <c r="C320" s="1" t="s">
        <v>19</v>
      </c>
      <c r="D320" s="1" t="s">
        <v>14</v>
      </c>
      <c r="E320" s="1" t="s">
        <v>15</v>
      </c>
      <c r="F320" s="1" t="s">
        <v>254</v>
      </c>
      <c r="G320" s="1" t="s">
        <v>394</v>
      </c>
    </row>
    <row r="321" spans="1:7" x14ac:dyDescent="0.25">
      <c r="A321" s="1" t="s">
        <v>535</v>
      </c>
      <c r="B321" s="1" t="s">
        <v>253</v>
      </c>
      <c r="C321" s="1" t="s">
        <v>386</v>
      </c>
      <c r="D321" s="1" t="s">
        <v>14</v>
      </c>
      <c r="E321" s="1" t="s">
        <v>15</v>
      </c>
      <c r="F321" s="1" t="s">
        <v>254</v>
      </c>
      <c r="G321" s="1" t="s">
        <v>255</v>
      </c>
    </row>
    <row r="322" spans="1:7" x14ac:dyDescent="0.25">
      <c r="A322" s="1" t="s">
        <v>536</v>
      </c>
      <c r="B322" s="1" t="s">
        <v>239</v>
      </c>
      <c r="C322" s="1" t="s">
        <v>19</v>
      </c>
      <c r="D322" s="1" t="s">
        <v>14</v>
      </c>
      <c r="E322" s="1" t="s">
        <v>15</v>
      </c>
      <c r="F322" s="1" t="s">
        <v>240</v>
      </c>
      <c r="G322" s="1" t="s">
        <v>241</v>
      </c>
    </row>
    <row r="323" spans="1:7" x14ac:dyDescent="0.25">
      <c r="A323" s="1" t="s">
        <v>536</v>
      </c>
      <c r="B323" s="1" t="s">
        <v>253</v>
      </c>
      <c r="C323" s="1" t="s">
        <v>19</v>
      </c>
      <c r="D323" s="1" t="s">
        <v>14</v>
      </c>
      <c r="E323" s="1" t="s">
        <v>15</v>
      </c>
      <c r="F323" s="1" t="s">
        <v>254</v>
      </c>
      <c r="G323" s="1" t="s">
        <v>255</v>
      </c>
    </row>
    <row r="324" spans="1:7" x14ac:dyDescent="0.25">
      <c r="A324" s="1" t="s">
        <v>537</v>
      </c>
      <c r="B324" s="1" t="s">
        <v>253</v>
      </c>
      <c r="C324" s="1" t="s">
        <v>19</v>
      </c>
      <c r="D324" s="1" t="s">
        <v>14</v>
      </c>
      <c r="E324" s="1" t="s">
        <v>15</v>
      </c>
      <c r="F324" s="1" t="s">
        <v>254</v>
      </c>
      <c r="G324" s="1" t="s">
        <v>255</v>
      </c>
    </row>
    <row r="325" spans="1:7" x14ac:dyDescent="0.25">
      <c r="A325" s="1" t="s">
        <v>538</v>
      </c>
      <c r="B325" s="1" t="s">
        <v>253</v>
      </c>
      <c r="C325" s="1" t="s">
        <v>19</v>
      </c>
      <c r="D325" s="1" t="s">
        <v>14</v>
      </c>
      <c r="E325" s="1" t="s">
        <v>15</v>
      </c>
      <c r="F325" s="1" t="s">
        <v>254</v>
      </c>
      <c r="G325" s="1" t="s">
        <v>255</v>
      </c>
    </row>
    <row r="326" spans="1:7" x14ac:dyDescent="0.25">
      <c r="A326" s="1" t="s">
        <v>539</v>
      </c>
      <c r="B326" s="1" t="s">
        <v>239</v>
      </c>
      <c r="C326" s="1" t="s">
        <v>19</v>
      </c>
      <c r="D326" s="1" t="s">
        <v>14</v>
      </c>
      <c r="E326" s="1" t="s">
        <v>15</v>
      </c>
      <c r="F326" s="1" t="s">
        <v>240</v>
      </c>
      <c r="G326" s="1" t="s">
        <v>241</v>
      </c>
    </row>
    <row r="327" spans="1:7" x14ac:dyDescent="0.25">
      <c r="A327" s="1" t="s">
        <v>540</v>
      </c>
      <c r="B327" s="1" t="s">
        <v>253</v>
      </c>
      <c r="C327" s="1" t="s">
        <v>19</v>
      </c>
      <c r="D327" s="1" t="s">
        <v>14</v>
      </c>
      <c r="E327" s="1" t="s">
        <v>15</v>
      </c>
      <c r="F327" s="1" t="s">
        <v>254</v>
      </c>
      <c r="G327" s="1" t="s">
        <v>255</v>
      </c>
    </row>
    <row r="328" spans="1:7" x14ac:dyDescent="0.25">
      <c r="A328" s="1" t="s">
        <v>540</v>
      </c>
      <c r="B328" s="1" t="s">
        <v>239</v>
      </c>
      <c r="C328" s="1" t="s">
        <v>19</v>
      </c>
      <c r="D328" s="1" t="s">
        <v>14</v>
      </c>
      <c r="E328" s="1" t="s">
        <v>15</v>
      </c>
      <c r="F328" s="1" t="s">
        <v>240</v>
      </c>
      <c r="G328" s="1" t="s">
        <v>241</v>
      </c>
    </row>
    <row r="329" spans="1:7" x14ac:dyDescent="0.25">
      <c r="A329" s="1" t="s">
        <v>541</v>
      </c>
      <c r="B329" s="1" t="s">
        <v>253</v>
      </c>
      <c r="C329" s="1" t="s">
        <v>19</v>
      </c>
      <c r="D329" s="1" t="s">
        <v>14</v>
      </c>
      <c r="E329" s="1" t="s">
        <v>15</v>
      </c>
      <c r="F329" s="1" t="s">
        <v>254</v>
      </c>
      <c r="G329" s="1" t="s">
        <v>255</v>
      </c>
    </row>
    <row r="330" spans="1:7" x14ac:dyDescent="0.25">
      <c r="A330" s="1" t="s">
        <v>541</v>
      </c>
      <c r="B330" s="1" t="s">
        <v>239</v>
      </c>
      <c r="C330" s="1" t="s">
        <v>19</v>
      </c>
      <c r="D330" s="1" t="s">
        <v>14</v>
      </c>
      <c r="E330" s="1" t="s">
        <v>15</v>
      </c>
      <c r="F330" s="1" t="s">
        <v>240</v>
      </c>
      <c r="G330" s="1" t="s">
        <v>241</v>
      </c>
    </row>
    <row r="331" spans="1:7" x14ac:dyDescent="0.25">
      <c r="A331" s="1" t="s">
        <v>542</v>
      </c>
      <c r="B331" s="1" t="s">
        <v>253</v>
      </c>
      <c r="C331" s="1" t="s">
        <v>19</v>
      </c>
      <c r="D331" s="1" t="s">
        <v>14</v>
      </c>
      <c r="E331" s="1" t="s">
        <v>15</v>
      </c>
      <c r="F331" s="1" t="s">
        <v>254</v>
      </c>
      <c r="G331" s="1" t="s">
        <v>255</v>
      </c>
    </row>
    <row r="332" spans="1:7" x14ac:dyDescent="0.25">
      <c r="A332" s="1" t="s">
        <v>543</v>
      </c>
      <c r="B332" s="1" t="s">
        <v>253</v>
      </c>
      <c r="C332" s="1" t="s">
        <v>19</v>
      </c>
      <c r="D332" s="1" t="s">
        <v>14</v>
      </c>
      <c r="E332" s="1" t="s">
        <v>15</v>
      </c>
      <c r="F332" s="1" t="s">
        <v>254</v>
      </c>
      <c r="G332" s="1" t="s">
        <v>255</v>
      </c>
    </row>
    <row r="333" spans="1:7" x14ac:dyDescent="0.25">
      <c r="A333" s="1" t="s">
        <v>544</v>
      </c>
      <c r="B333" s="1" t="s">
        <v>253</v>
      </c>
      <c r="C333" s="1" t="s">
        <v>19</v>
      </c>
      <c r="D333" s="1" t="s">
        <v>14</v>
      </c>
      <c r="E333" s="1" t="s">
        <v>15</v>
      </c>
      <c r="F333" s="1" t="s">
        <v>254</v>
      </c>
      <c r="G333" s="1" t="s">
        <v>255</v>
      </c>
    </row>
    <row r="334" spans="1:7" x14ac:dyDescent="0.25">
      <c r="A334" s="1" t="s">
        <v>545</v>
      </c>
      <c r="B334" s="1" t="s">
        <v>367</v>
      </c>
      <c r="C334" s="1" t="s">
        <v>19</v>
      </c>
      <c r="D334" s="1" t="s">
        <v>14</v>
      </c>
      <c r="E334" s="1" t="s">
        <v>15</v>
      </c>
      <c r="F334" s="1" t="s">
        <v>368</v>
      </c>
      <c r="G334" s="1" t="s">
        <v>255</v>
      </c>
    </row>
    <row r="335" spans="1:7" x14ac:dyDescent="0.25">
      <c r="A335" s="1" t="s">
        <v>546</v>
      </c>
      <c r="B335" s="1" t="s">
        <v>253</v>
      </c>
      <c r="C335" s="1" t="s">
        <v>19</v>
      </c>
      <c r="D335" s="1" t="s">
        <v>14</v>
      </c>
      <c r="E335" s="1" t="s">
        <v>15</v>
      </c>
      <c r="F335" s="1" t="s">
        <v>254</v>
      </c>
      <c r="G335" s="1" t="s">
        <v>255</v>
      </c>
    </row>
    <row r="336" spans="1:7" x14ac:dyDescent="0.25">
      <c r="A336" s="1" t="s">
        <v>129</v>
      </c>
      <c r="B336" s="1" t="s">
        <v>91</v>
      </c>
      <c r="C336" s="1" t="s">
        <v>13</v>
      </c>
      <c r="D336" s="1" t="s">
        <v>14</v>
      </c>
      <c r="E336" s="1" t="s">
        <v>15</v>
      </c>
      <c r="F336" s="1" t="s">
        <v>330</v>
      </c>
      <c r="G336" s="1" t="s">
        <v>90</v>
      </c>
    </row>
    <row r="337" spans="1:7" x14ac:dyDescent="0.25">
      <c r="A337" s="1" t="s">
        <v>547</v>
      </c>
      <c r="B337" s="1" t="s">
        <v>258</v>
      </c>
      <c r="C337" s="1" t="s">
        <v>19</v>
      </c>
      <c r="D337" s="1" t="s">
        <v>14</v>
      </c>
      <c r="E337" s="1" t="s">
        <v>15</v>
      </c>
      <c r="F337" s="1" t="s">
        <v>259</v>
      </c>
      <c r="G337" s="1" t="s">
        <v>260</v>
      </c>
    </row>
    <row r="338" spans="1:7" x14ac:dyDescent="0.25">
      <c r="A338" s="1" t="s">
        <v>547</v>
      </c>
      <c r="B338" s="1" t="s">
        <v>258</v>
      </c>
      <c r="C338" s="1" t="s">
        <v>237</v>
      </c>
      <c r="D338" s="1" t="s">
        <v>14</v>
      </c>
      <c r="E338" s="1" t="s">
        <v>15</v>
      </c>
      <c r="F338" s="1" t="s">
        <v>259</v>
      </c>
      <c r="G338" s="1" t="s">
        <v>260</v>
      </c>
    </row>
    <row r="339" spans="1:7" x14ac:dyDescent="0.25">
      <c r="A339" s="1" t="s">
        <v>157</v>
      </c>
      <c r="B339" s="1" t="s">
        <v>158</v>
      </c>
      <c r="C339" s="1" t="s">
        <v>19</v>
      </c>
      <c r="D339" s="1" t="s">
        <v>14</v>
      </c>
      <c r="E339" s="1" t="s">
        <v>15</v>
      </c>
      <c r="F339" s="1" t="s">
        <v>159</v>
      </c>
      <c r="G339" s="1"/>
    </row>
    <row r="340" spans="1:7" x14ac:dyDescent="0.25">
      <c r="A340" s="1" t="s">
        <v>548</v>
      </c>
      <c r="B340" s="1" t="s">
        <v>258</v>
      </c>
      <c r="C340" s="1" t="s">
        <v>549</v>
      </c>
      <c r="D340" s="1" t="s">
        <v>14</v>
      </c>
      <c r="E340" s="1" t="s">
        <v>15</v>
      </c>
      <c r="F340" s="1" t="s">
        <v>259</v>
      </c>
      <c r="G340" s="1" t="s">
        <v>255</v>
      </c>
    </row>
    <row r="341" spans="1:7" x14ac:dyDescent="0.25">
      <c r="A341" s="1" t="s">
        <v>550</v>
      </c>
      <c r="B341" s="1" t="s">
        <v>243</v>
      </c>
      <c r="C341" s="1" t="s">
        <v>167</v>
      </c>
      <c r="D341" s="1" t="s">
        <v>14</v>
      </c>
      <c r="E341" s="1" t="s">
        <v>15</v>
      </c>
      <c r="F341" s="1" t="s">
        <v>245</v>
      </c>
      <c r="G341" s="1" t="s">
        <v>246</v>
      </c>
    </row>
    <row r="342" spans="1:7" x14ac:dyDescent="0.25">
      <c r="A342" s="1" t="s">
        <v>191</v>
      </c>
      <c r="B342" s="1" t="s">
        <v>243</v>
      </c>
      <c r="C342" s="1" t="s">
        <v>192</v>
      </c>
      <c r="D342" s="1" t="s">
        <v>14</v>
      </c>
      <c r="E342" s="1" t="s">
        <v>15</v>
      </c>
      <c r="F342" s="1" t="s">
        <v>245</v>
      </c>
      <c r="G342" s="1" t="s">
        <v>339</v>
      </c>
    </row>
    <row r="343" spans="1:7" x14ac:dyDescent="0.25">
      <c r="A343" s="1" t="s">
        <v>191</v>
      </c>
      <c r="B343" s="1" t="s">
        <v>331</v>
      </c>
      <c r="C343" s="1" t="s">
        <v>192</v>
      </c>
      <c r="D343" s="1" t="s">
        <v>186</v>
      </c>
      <c r="E343" s="1" t="s">
        <v>15</v>
      </c>
      <c r="F343" s="1" t="s">
        <v>332</v>
      </c>
      <c r="G343" s="1" t="s">
        <v>185</v>
      </c>
    </row>
    <row r="344" spans="1:7" x14ac:dyDescent="0.25">
      <c r="A344" s="1" t="s">
        <v>551</v>
      </c>
      <c r="B344" s="1" t="s">
        <v>334</v>
      </c>
      <c r="C344" s="1" t="s">
        <v>192</v>
      </c>
      <c r="D344" s="1" t="s">
        <v>186</v>
      </c>
      <c r="E344" s="1" t="s">
        <v>15</v>
      </c>
      <c r="F344" s="1" t="s">
        <v>335</v>
      </c>
      <c r="G344" s="1"/>
    </row>
    <row r="345" spans="1:7" x14ac:dyDescent="0.25">
      <c r="A345" s="1" t="s">
        <v>552</v>
      </c>
      <c r="B345" s="1" t="s">
        <v>258</v>
      </c>
      <c r="C345" s="1" t="s">
        <v>210</v>
      </c>
      <c r="D345" s="1" t="s">
        <v>14</v>
      </c>
      <c r="E345" s="1" t="s">
        <v>15</v>
      </c>
      <c r="F345" s="1" t="s">
        <v>259</v>
      </c>
      <c r="G345" s="1" t="s">
        <v>255</v>
      </c>
    </row>
    <row r="346" spans="1:7" x14ac:dyDescent="0.25">
      <c r="A346" s="1" t="s">
        <v>552</v>
      </c>
      <c r="B346" s="1" t="s">
        <v>253</v>
      </c>
      <c r="C346" s="1" t="s">
        <v>210</v>
      </c>
      <c r="D346" s="1" t="s">
        <v>14</v>
      </c>
      <c r="E346" s="1" t="s">
        <v>15</v>
      </c>
      <c r="F346" s="1" t="s">
        <v>254</v>
      </c>
      <c r="G346" s="1" t="s">
        <v>255</v>
      </c>
    </row>
    <row r="347" spans="1:7" x14ac:dyDescent="0.25">
      <c r="A347" s="1" t="s">
        <v>553</v>
      </c>
      <c r="B347" s="1" t="s">
        <v>554</v>
      </c>
      <c r="C347" s="1" t="s">
        <v>201</v>
      </c>
      <c r="D347" s="1" t="s">
        <v>14</v>
      </c>
      <c r="E347" s="1" t="s">
        <v>15</v>
      </c>
      <c r="F347" s="1" t="s">
        <v>555</v>
      </c>
      <c r="G347" s="1"/>
    </row>
    <row r="348" spans="1:7" x14ac:dyDescent="0.25">
      <c r="A348" s="1" t="s">
        <v>160</v>
      </c>
      <c r="B348" s="1" t="s">
        <v>158</v>
      </c>
      <c r="C348" s="1" t="s">
        <v>13</v>
      </c>
      <c r="D348" s="1" t="s">
        <v>14</v>
      </c>
      <c r="E348" s="1" t="s">
        <v>15</v>
      </c>
      <c r="F348" s="1" t="s">
        <v>159</v>
      </c>
      <c r="G348" s="1"/>
    </row>
    <row r="349" spans="1:7" x14ac:dyDescent="0.25">
      <c r="A349" s="1" t="s">
        <v>161</v>
      </c>
      <c r="B349" s="1" t="s">
        <v>158</v>
      </c>
      <c r="C349" s="1" t="s">
        <v>19</v>
      </c>
      <c r="D349" s="1" t="s">
        <v>14</v>
      </c>
      <c r="E349" s="1" t="s">
        <v>15</v>
      </c>
      <c r="F349" s="1" t="s">
        <v>159</v>
      </c>
      <c r="G349" s="1"/>
    </row>
    <row r="350" spans="1:7" x14ac:dyDescent="0.25">
      <c r="A350" s="1" t="s">
        <v>162</v>
      </c>
      <c r="B350" s="1" t="s">
        <v>158</v>
      </c>
      <c r="C350" s="1" t="s">
        <v>163</v>
      </c>
      <c r="D350" s="1" t="s">
        <v>14</v>
      </c>
      <c r="E350" s="1" t="s">
        <v>15</v>
      </c>
      <c r="F350" s="1" t="s">
        <v>159</v>
      </c>
      <c r="G350" s="1"/>
    </row>
    <row r="351" spans="1:7" x14ac:dyDescent="0.25">
      <c r="A351" s="1" t="s">
        <v>164</v>
      </c>
      <c r="B351" s="1" t="s">
        <v>158</v>
      </c>
      <c r="C351" s="1" t="s">
        <v>165</v>
      </c>
      <c r="D351" s="1" t="s">
        <v>14</v>
      </c>
      <c r="E351" s="1" t="s">
        <v>15</v>
      </c>
      <c r="F351" s="1" t="s">
        <v>159</v>
      </c>
      <c r="G351" s="1"/>
    </row>
    <row r="352" spans="1:7" x14ac:dyDescent="0.25">
      <c r="A352" s="1" t="s">
        <v>166</v>
      </c>
      <c r="B352" s="1" t="s">
        <v>158</v>
      </c>
      <c r="C352" s="1" t="s">
        <v>167</v>
      </c>
      <c r="D352" s="1" t="s">
        <v>14</v>
      </c>
      <c r="E352" s="1" t="s">
        <v>15</v>
      </c>
      <c r="F352" s="1" t="s">
        <v>159</v>
      </c>
      <c r="G352" s="1"/>
    </row>
    <row r="353" spans="1:7" x14ac:dyDescent="0.25">
      <c r="A353" s="1" t="s">
        <v>168</v>
      </c>
      <c r="B353" s="1" t="s">
        <v>158</v>
      </c>
      <c r="C353" s="1" t="s">
        <v>169</v>
      </c>
      <c r="D353" s="1" t="s">
        <v>14</v>
      </c>
      <c r="E353" s="1" t="s">
        <v>15</v>
      </c>
      <c r="F353" s="1" t="s">
        <v>159</v>
      </c>
      <c r="G353" s="1"/>
    </row>
    <row r="354" spans="1:7" x14ac:dyDescent="0.25">
      <c r="A354" s="1" t="s">
        <v>170</v>
      </c>
      <c r="B354" s="1" t="s">
        <v>158</v>
      </c>
      <c r="C354" s="1" t="s">
        <v>171</v>
      </c>
      <c r="D354" s="1" t="s">
        <v>14</v>
      </c>
      <c r="E354" s="1" t="s">
        <v>15</v>
      </c>
      <c r="F354" s="1" t="s">
        <v>159</v>
      </c>
      <c r="G354" s="1"/>
    </row>
    <row r="355" spans="1:7" x14ac:dyDescent="0.25">
      <c r="A355" s="1" t="s">
        <v>34</v>
      </c>
      <c r="B355" s="1" t="s">
        <v>12</v>
      </c>
      <c r="C355" s="1" t="s">
        <v>19</v>
      </c>
      <c r="D355" s="1" t="s">
        <v>14</v>
      </c>
      <c r="E355" s="1" t="s">
        <v>15</v>
      </c>
      <c r="F355" s="1" t="s">
        <v>256</v>
      </c>
      <c r="G355" s="1" t="s">
        <v>10</v>
      </c>
    </row>
    <row r="356" spans="1:7" x14ac:dyDescent="0.25">
      <c r="A356" s="1" t="s">
        <v>34</v>
      </c>
      <c r="B356" s="1" t="s">
        <v>12</v>
      </c>
      <c r="C356" s="1" t="s">
        <v>21</v>
      </c>
      <c r="D356" s="1" t="s">
        <v>14</v>
      </c>
      <c r="E356" s="1" t="s">
        <v>15</v>
      </c>
      <c r="F356" s="1" t="s">
        <v>256</v>
      </c>
      <c r="G356" s="1" t="s">
        <v>10</v>
      </c>
    </row>
    <row r="357" spans="1:7" x14ac:dyDescent="0.25">
      <c r="A357" s="1" t="s">
        <v>37</v>
      </c>
      <c r="B357" s="1" t="s">
        <v>12</v>
      </c>
      <c r="C357" s="1" t="s">
        <v>19</v>
      </c>
      <c r="D357" s="1" t="s">
        <v>24</v>
      </c>
      <c r="E357" s="1" t="s">
        <v>15</v>
      </c>
      <c r="F357" s="1" t="s">
        <v>256</v>
      </c>
      <c r="G357" s="1" t="s">
        <v>10</v>
      </c>
    </row>
    <row r="358" spans="1:7" x14ac:dyDescent="0.25">
      <c r="A358" s="1" t="s">
        <v>37</v>
      </c>
      <c r="B358" s="1" t="s">
        <v>12</v>
      </c>
      <c r="C358" s="1" t="s">
        <v>21</v>
      </c>
      <c r="D358" s="1" t="s">
        <v>14</v>
      </c>
      <c r="E358" s="1" t="s">
        <v>15</v>
      </c>
      <c r="F358" s="1" t="s">
        <v>256</v>
      </c>
      <c r="G358" s="1" t="s">
        <v>10</v>
      </c>
    </row>
    <row r="359" spans="1:7" x14ac:dyDescent="0.25">
      <c r="A359" s="1" t="s">
        <v>40</v>
      </c>
      <c r="B359" s="1" t="s">
        <v>12</v>
      </c>
      <c r="C359" s="1" t="s">
        <v>21</v>
      </c>
      <c r="D359" s="1" t="s">
        <v>14</v>
      </c>
      <c r="E359" s="1" t="s">
        <v>15</v>
      </c>
      <c r="F359" s="1" t="s">
        <v>256</v>
      </c>
      <c r="G359" s="1" t="s">
        <v>10</v>
      </c>
    </row>
    <row r="360" spans="1:7" x14ac:dyDescent="0.25">
      <c r="A360" s="1" t="s">
        <v>42</v>
      </c>
      <c r="B360" s="1" t="s">
        <v>12</v>
      </c>
      <c r="C360" s="1" t="s">
        <v>21</v>
      </c>
      <c r="D360" s="1" t="s">
        <v>14</v>
      </c>
      <c r="E360" s="1" t="s">
        <v>15</v>
      </c>
      <c r="F360" s="1" t="s">
        <v>256</v>
      </c>
      <c r="G360" s="1" t="s">
        <v>10</v>
      </c>
    </row>
    <row r="361" spans="1:7" x14ac:dyDescent="0.25">
      <c r="A361" s="1" t="s">
        <v>43</v>
      </c>
      <c r="B361" s="1" t="s">
        <v>12</v>
      </c>
      <c r="C361" s="1" t="s">
        <v>19</v>
      </c>
      <c r="D361" s="1" t="s">
        <v>14</v>
      </c>
      <c r="E361" s="1" t="s">
        <v>15</v>
      </c>
      <c r="F361" s="1" t="s">
        <v>256</v>
      </c>
      <c r="G361" s="1" t="s">
        <v>10</v>
      </c>
    </row>
    <row r="362" spans="1:7" x14ac:dyDescent="0.25">
      <c r="A362" s="1" t="s">
        <v>43</v>
      </c>
      <c r="B362" s="1" t="s">
        <v>12</v>
      </c>
      <c r="C362" s="1" t="s">
        <v>21</v>
      </c>
      <c r="D362" s="1" t="s">
        <v>14</v>
      </c>
      <c r="E362" s="1" t="s">
        <v>15</v>
      </c>
      <c r="F362" s="1" t="s">
        <v>256</v>
      </c>
      <c r="G362" s="1" t="s">
        <v>10</v>
      </c>
    </row>
    <row r="363" spans="1:7" x14ac:dyDescent="0.25">
      <c r="A363" s="1" t="s">
        <v>45</v>
      </c>
      <c r="B363" s="1" t="s">
        <v>12</v>
      </c>
      <c r="C363" s="1" t="s">
        <v>21</v>
      </c>
      <c r="D363" s="1" t="s">
        <v>14</v>
      </c>
      <c r="E363" s="1" t="s">
        <v>15</v>
      </c>
      <c r="F363" s="1" t="s">
        <v>256</v>
      </c>
      <c r="G363" s="1" t="s">
        <v>10</v>
      </c>
    </row>
    <row r="364" spans="1:7" x14ac:dyDescent="0.25">
      <c r="A364" s="1" t="s">
        <v>47</v>
      </c>
      <c r="B364" s="1" t="s">
        <v>12</v>
      </c>
      <c r="C364" s="1" t="s">
        <v>21</v>
      </c>
      <c r="D364" s="1" t="s">
        <v>14</v>
      </c>
      <c r="E364" s="1" t="s">
        <v>15</v>
      </c>
      <c r="F364" s="1" t="s">
        <v>256</v>
      </c>
      <c r="G364" s="1" t="s">
        <v>10</v>
      </c>
    </row>
    <row r="365" spans="1:7" x14ac:dyDescent="0.25">
      <c r="A365" s="1" t="s">
        <v>49</v>
      </c>
      <c r="B365" s="1" t="s">
        <v>12</v>
      </c>
      <c r="C365" s="1" t="s">
        <v>21</v>
      </c>
      <c r="D365" s="1" t="s">
        <v>14</v>
      </c>
      <c r="E365" s="1" t="s">
        <v>15</v>
      </c>
      <c r="F365" s="1" t="s">
        <v>256</v>
      </c>
      <c r="G365" s="1" t="s">
        <v>10</v>
      </c>
    </row>
    <row r="366" spans="1:7" x14ac:dyDescent="0.25">
      <c r="A366" s="1" t="s">
        <v>51</v>
      </c>
      <c r="B366" s="1" t="s">
        <v>12</v>
      </c>
      <c r="C366" s="1" t="s">
        <v>21</v>
      </c>
      <c r="D366" s="1" t="s">
        <v>14</v>
      </c>
      <c r="E366" s="1" t="s">
        <v>15</v>
      </c>
      <c r="F366" s="1" t="s">
        <v>256</v>
      </c>
      <c r="G366" s="1" t="s">
        <v>10</v>
      </c>
    </row>
    <row r="367" spans="1:7" x14ac:dyDescent="0.25">
      <c r="A367" s="1" t="s">
        <v>53</v>
      </c>
      <c r="B367" s="1" t="s">
        <v>12</v>
      </c>
      <c r="C367" s="1" t="s">
        <v>21</v>
      </c>
      <c r="D367" s="1" t="s">
        <v>14</v>
      </c>
      <c r="E367" s="1" t="s">
        <v>15</v>
      </c>
      <c r="F367" s="1" t="s">
        <v>256</v>
      </c>
      <c r="G367" s="1" t="s">
        <v>10</v>
      </c>
    </row>
    <row r="368" spans="1:7" x14ac:dyDescent="0.25">
      <c r="A368" s="1" t="s">
        <v>55</v>
      </c>
      <c r="B368" s="1" t="s">
        <v>12</v>
      </c>
      <c r="C368" s="1" t="s">
        <v>21</v>
      </c>
      <c r="D368" s="1" t="s">
        <v>14</v>
      </c>
      <c r="E368" s="1" t="s">
        <v>15</v>
      </c>
      <c r="F368" s="1" t="s">
        <v>256</v>
      </c>
      <c r="G368" s="1" t="s">
        <v>10</v>
      </c>
    </row>
    <row r="369" spans="1:7" x14ac:dyDescent="0.25">
      <c r="A369" s="1" t="s">
        <v>57</v>
      </c>
      <c r="B369" s="1" t="s">
        <v>12</v>
      </c>
      <c r="C369" s="1" t="s">
        <v>21</v>
      </c>
      <c r="D369" s="1" t="s">
        <v>14</v>
      </c>
      <c r="E369" s="1" t="s">
        <v>15</v>
      </c>
      <c r="F369" s="1" t="s">
        <v>256</v>
      </c>
      <c r="G369" s="1" t="s">
        <v>10</v>
      </c>
    </row>
    <row r="370" spans="1:7" x14ac:dyDescent="0.25">
      <c r="A370" s="1" t="s">
        <v>556</v>
      </c>
      <c r="B370" s="1" t="s">
        <v>243</v>
      </c>
      <c r="C370" s="1" t="s">
        <v>557</v>
      </c>
      <c r="D370" s="1" t="s">
        <v>14</v>
      </c>
      <c r="E370" s="1" t="s">
        <v>15</v>
      </c>
      <c r="F370" s="1" t="s">
        <v>245</v>
      </c>
      <c r="G370" s="1" t="s">
        <v>339</v>
      </c>
    </row>
    <row r="371" spans="1:7" x14ac:dyDescent="0.25">
      <c r="A371" s="1" t="s">
        <v>558</v>
      </c>
      <c r="B371" s="1" t="s">
        <v>417</v>
      </c>
      <c r="C371" s="1" t="s">
        <v>19</v>
      </c>
      <c r="D371" s="1" t="s">
        <v>24</v>
      </c>
      <c r="E371" s="1" t="s">
        <v>15</v>
      </c>
      <c r="F371" s="1" t="s">
        <v>254</v>
      </c>
      <c r="G371" s="1" t="s">
        <v>260</v>
      </c>
    </row>
    <row r="372" spans="1:7" x14ac:dyDescent="0.25">
      <c r="A372" s="1" t="s">
        <v>207</v>
      </c>
      <c r="B372" s="1" t="s">
        <v>559</v>
      </c>
      <c r="C372" s="1" t="s">
        <v>19</v>
      </c>
      <c r="D372" s="1" t="s">
        <v>24</v>
      </c>
      <c r="E372" s="1" t="s">
        <v>15</v>
      </c>
      <c r="F372" s="1" t="s">
        <v>560</v>
      </c>
      <c r="G372" s="1"/>
    </row>
    <row r="373" spans="1:7" x14ac:dyDescent="0.25">
      <c r="A373" s="1" t="s">
        <v>561</v>
      </c>
      <c r="B373" s="1" t="s">
        <v>562</v>
      </c>
      <c r="C373" s="1" t="s">
        <v>19</v>
      </c>
      <c r="D373" s="1" t="s">
        <v>24</v>
      </c>
      <c r="E373" s="1" t="s">
        <v>15</v>
      </c>
      <c r="F373" s="1" t="s">
        <v>563</v>
      </c>
      <c r="G373" s="1"/>
    </row>
    <row r="374" spans="1:7" x14ac:dyDescent="0.25">
      <c r="A374" s="1" t="s">
        <v>564</v>
      </c>
      <c r="B374" s="1" t="s">
        <v>312</v>
      </c>
      <c r="C374" s="1" t="s">
        <v>201</v>
      </c>
      <c r="D374" s="1" t="s">
        <v>14</v>
      </c>
      <c r="E374" s="1" t="s">
        <v>15</v>
      </c>
      <c r="F374" s="1" t="s">
        <v>313</v>
      </c>
      <c r="G374" s="1"/>
    </row>
    <row r="375" spans="1:7" x14ac:dyDescent="0.25">
      <c r="A375" s="1" t="s">
        <v>565</v>
      </c>
      <c r="B375" s="1" t="s">
        <v>243</v>
      </c>
      <c r="C375" s="1" t="s">
        <v>201</v>
      </c>
      <c r="D375" s="1" t="s">
        <v>14</v>
      </c>
      <c r="E375" s="1" t="s">
        <v>15</v>
      </c>
      <c r="F375" s="1" t="s">
        <v>245</v>
      </c>
      <c r="G375" s="1" t="s">
        <v>246</v>
      </c>
    </row>
    <row r="376" spans="1:7" x14ac:dyDescent="0.25">
      <c r="A376" s="1" t="s">
        <v>566</v>
      </c>
      <c r="B376" s="1" t="s">
        <v>567</v>
      </c>
      <c r="C376" s="1" t="s">
        <v>19</v>
      </c>
      <c r="D376" s="1" t="s">
        <v>24</v>
      </c>
      <c r="E376" s="1" t="s">
        <v>15</v>
      </c>
      <c r="F376" s="1" t="s">
        <v>568</v>
      </c>
      <c r="G376" s="1"/>
    </row>
    <row r="377" spans="1:7" x14ac:dyDescent="0.25">
      <c r="A377" s="1" t="s">
        <v>569</v>
      </c>
      <c r="B377" s="1" t="s">
        <v>562</v>
      </c>
      <c r="C377" s="1" t="s">
        <v>201</v>
      </c>
      <c r="D377" s="1" t="s">
        <v>14</v>
      </c>
      <c r="E377" s="1" t="s">
        <v>15</v>
      </c>
      <c r="F377" s="1" t="s">
        <v>563</v>
      </c>
      <c r="G377" s="1"/>
    </row>
    <row r="378" spans="1:7" x14ac:dyDescent="0.25">
      <c r="A378" s="1" t="s">
        <v>200</v>
      </c>
      <c r="B378" s="1" t="s">
        <v>205</v>
      </c>
      <c r="C378" s="1" t="s">
        <v>201</v>
      </c>
      <c r="D378" s="1" t="s">
        <v>14</v>
      </c>
      <c r="E378" s="1" t="s">
        <v>15</v>
      </c>
      <c r="F378" s="1" t="s">
        <v>570</v>
      </c>
      <c r="G378" s="1"/>
    </row>
    <row r="379" spans="1:7" x14ac:dyDescent="0.25">
      <c r="A379" s="1" t="s">
        <v>214</v>
      </c>
      <c r="B379" s="1" t="s">
        <v>559</v>
      </c>
      <c r="C379" s="1" t="s">
        <v>201</v>
      </c>
      <c r="D379" s="1" t="s">
        <v>14</v>
      </c>
      <c r="E379" s="1" t="s">
        <v>15</v>
      </c>
      <c r="F379" s="1" t="s">
        <v>560</v>
      </c>
      <c r="G379" s="1"/>
    </row>
    <row r="380" spans="1:7" x14ac:dyDescent="0.25">
      <c r="A380" s="1" t="s">
        <v>571</v>
      </c>
      <c r="B380" s="1" t="s">
        <v>562</v>
      </c>
      <c r="C380" s="1" t="s">
        <v>167</v>
      </c>
      <c r="D380" s="1" t="s">
        <v>14</v>
      </c>
      <c r="E380" s="1" t="s">
        <v>15</v>
      </c>
      <c r="F380" s="1" t="s">
        <v>563</v>
      </c>
      <c r="G380" s="1"/>
    </row>
    <row r="381" spans="1:7" x14ac:dyDescent="0.25">
      <c r="A381" s="1" t="s">
        <v>572</v>
      </c>
      <c r="B381" s="1" t="s">
        <v>243</v>
      </c>
      <c r="C381" s="1" t="s">
        <v>184</v>
      </c>
      <c r="D381" s="1" t="s">
        <v>14</v>
      </c>
      <c r="E381" s="1" t="s">
        <v>15</v>
      </c>
      <c r="F381" s="1" t="s">
        <v>245</v>
      </c>
      <c r="G381" s="1" t="s">
        <v>339</v>
      </c>
    </row>
    <row r="382" spans="1:7" x14ac:dyDescent="0.25">
      <c r="A382" s="1" t="s">
        <v>206</v>
      </c>
      <c r="B382" s="1" t="s">
        <v>205</v>
      </c>
      <c r="C382" s="1" t="s">
        <v>19</v>
      </c>
      <c r="D382" s="1" t="s">
        <v>24</v>
      </c>
      <c r="E382" s="1" t="s">
        <v>15</v>
      </c>
      <c r="F382" s="1" t="s">
        <v>570</v>
      </c>
      <c r="G382" s="1"/>
    </row>
    <row r="383" spans="1:7" x14ac:dyDescent="0.25">
      <c r="A383" s="1" t="s">
        <v>209</v>
      </c>
      <c r="B383" s="1" t="s">
        <v>205</v>
      </c>
      <c r="C383" s="1" t="s">
        <v>210</v>
      </c>
      <c r="D383" s="1" t="s">
        <v>24</v>
      </c>
      <c r="E383" s="1" t="s">
        <v>15</v>
      </c>
      <c r="F383" s="1" t="s">
        <v>570</v>
      </c>
      <c r="G383" s="1"/>
    </row>
    <row r="384" spans="1:7" x14ac:dyDescent="0.25">
      <c r="A384" s="1" t="s">
        <v>213</v>
      </c>
      <c r="B384" s="1" t="s">
        <v>205</v>
      </c>
      <c r="C384" s="1" t="s">
        <v>201</v>
      </c>
      <c r="D384" s="1" t="s">
        <v>14</v>
      </c>
      <c r="E384" s="1" t="s">
        <v>15</v>
      </c>
      <c r="F384" s="1" t="s">
        <v>570</v>
      </c>
      <c r="G384" s="1"/>
    </row>
    <row r="385" spans="1:7" x14ac:dyDescent="0.25">
      <c r="A385" s="1" t="s">
        <v>573</v>
      </c>
      <c r="B385" s="1" t="s">
        <v>422</v>
      </c>
      <c r="C385" s="1" t="s">
        <v>13</v>
      </c>
      <c r="D385" s="1" t="s">
        <v>14</v>
      </c>
      <c r="E385" s="1" t="s">
        <v>15</v>
      </c>
      <c r="F385" s="1" t="s">
        <v>423</v>
      </c>
      <c r="G385" s="1"/>
    </row>
    <row r="386" spans="1:7" x14ac:dyDescent="0.25">
      <c r="A386" s="1" t="s">
        <v>574</v>
      </c>
      <c r="B386" s="1" t="s">
        <v>422</v>
      </c>
      <c r="C386" s="1" t="s">
        <v>163</v>
      </c>
      <c r="D386" s="1" t="s">
        <v>14</v>
      </c>
      <c r="E386" s="1" t="s">
        <v>15</v>
      </c>
      <c r="F386" s="1" t="s">
        <v>423</v>
      </c>
      <c r="G386" s="1"/>
    </row>
    <row r="387" spans="1:7" x14ac:dyDescent="0.25">
      <c r="A387" s="1" t="s">
        <v>575</v>
      </c>
      <c r="B387" s="1" t="s">
        <v>316</v>
      </c>
      <c r="C387" s="1" t="s">
        <v>210</v>
      </c>
      <c r="D387" s="1" t="s">
        <v>24</v>
      </c>
      <c r="E387" s="1" t="s">
        <v>15</v>
      </c>
      <c r="F387" s="1" t="s">
        <v>317</v>
      </c>
      <c r="G387" s="1"/>
    </row>
    <row r="388" spans="1:7" x14ac:dyDescent="0.25">
      <c r="A388" s="1" t="s">
        <v>576</v>
      </c>
      <c r="B388" s="1" t="s">
        <v>349</v>
      </c>
      <c r="C388" s="1" t="s">
        <v>210</v>
      </c>
      <c r="D388" s="1" t="s">
        <v>24</v>
      </c>
      <c r="E388" s="1" t="s">
        <v>15</v>
      </c>
      <c r="F388" s="1" t="s">
        <v>351</v>
      </c>
      <c r="G388" s="1"/>
    </row>
    <row r="389" spans="1:7" x14ac:dyDescent="0.25">
      <c r="A389" s="1" t="s">
        <v>193</v>
      </c>
      <c r="B389" s="1" t="s">
        <v>243</v>
      </c>
      <c r="C389" s="1" t="s">
        <v>19</v>
      </c>
      <c r="D389" s="1" t="s">
        <v>24</v>
      </c>
      <c r="E389" s="1" t="s">
        <v>15</v>
      </c>
      <c r="F389" s="1" t="s">
        <v>245</v>
      </c>
      <c r="G389" s="1" t="s">
        <v>339</v>
      </c>
    </row>
    <row r="390" spans="1:7" x14ac:dyDescent="0.25">
      <c r="A390" s="1" t="s">
        <v>193</v>
      </c>
      <c r="B390" s="1" t="s">
        <v>331</v>
      </c>
      <c r="C390" s="1" t="s">
        <v>19</v>
      </c>
      <c r="D390" s="1" t="s">
        <v>186</v>
      </c>
      <c r="E390" s="1" t="s">
        <v>15</v>
      </c>
      <c r="F390" s="1" t="s">
        <v>332</v>
      </c>
      <c r="G390" s="1" t="s">
        <v>185</v>
      </c>
    </row>
    <row r="391" spans="1:7" x14ac:dyDescent="0.25">
      <c r="A391" s="1" t="s">
        <v>577</v>
      </c>
      <c r="B391" s="1" t="s">
        <v>334</v>
      </c>
      <c r="C391" s="1" t="s">
        <v>19</v>
      </c>
      <c r="D391" s="1" t="s">
        <v>186</v>
      </c>
      <c r="E391" s="1" t="s">
        <v>15</v>
      </c>
      <c r="F391" s="1" t="s">
        <v>335</v>
      </c>
      <c r="G391" s="1"/>
    </row>
    <row r="392" spans="1:7" x14ac:dyDescent="0.25">
      <c r="A392" s="1" t="s">
        <v>578</v>
      </c>
      <c r="B392" s="1" t="s">
        <v>258</v>
      </c>
      <c r="C392" s="1" t="s">
        <v>579</v>
      </c>
      <c r="D392" s="1" t="s">
        <v>14</v>
      </c>
      <c r="E392" s="1" t="s">
        <v>15</v>
      </c>
      <c r="F392" s="1" t="s">
        <v>259</v>
      </c>
      <c r="G392" s="1" t="s">
        <v>255</v>
      </c>
    </row>
    <row r="393" spans="1:7" x14ac:dyDescent="0.25">
      <c r="A393" s="1" t="s">
        <v>580</v>
      </c>
      <c r="B393" s="1" t="s">
        <v>258</v>
      </c>
      <c r="C393" s="1" t="s">
        <v>581</v>
      </c>
      <c r="D393" s="1" t="s">
        <v>14</v>
      </c>
      <c r="E393" s="1" t="s">
        <v>15</v>
      </c>
      <c r="F393" s="1" t="s">
        <v>259</v>
      </c>
      <c r="G393" s="1" t="s">
        <v>255</v>
      </c>
    </row>
    <row r="394" spans="1:7" x14ac:dyDescent="0.25">
      <c r="A394" s="1" t="s">
        <v>582</v>
      </c>
      <c r="B394" s="1" t="s">
        <v>250</v>
      </c>
      <c r="C394" s="1" t="s">
        <v>163</v>
      </c>
      <c r="D394" s="1" t="s">
        <v>14</v>
      </c>
      <c r="E394" s="1" t="s">
        <v>15</v>
      </c>
      <c r="F394" s="1" t="s">
        <v>251</v>
      </c>
      <c r="G394" s="1"/>
    </row>
    <row r="395" spans="1:7" x14ac:dyDescent="0.25">
      <c r="A395" s="1" t="s">
        <v>583</v>
      </c>
      <c r="B395" s="1" t="s">
        <v>81</v>
      </c>
      <c r="C395" s="1" t="s">
        <v>167</v>
      </c>
      <c r="D395" s="1" t="s">
        <v>14</v>
      </c>
      <c r="E395" s="1" t="s">
        <v>15</v>
      </c>
      <c r="F395" s="1" t="s">
        <v>584</v>
      </c>
      <c r="G395" s="1"/>
    </row>
    <row r="396" spans="1:7" x14ac:dyDescent="0.25">
      <c r="A396" s="1" t="s">
        <v>216</v>
      </c>
      <c r="B396" s="1" t="s">
        <v>205</v>
      </c>
      <c r="C396" s="1" t="s">
        <v>167</v>
      </c>
      <c r="D396" s="1" t="s">
        <v>14</v>
      </c>
      <c r="E396" s="1" t="s">
        <v>15</v>
      </c>
      <c r="F396" s="1" t="s">
        <v>570</v>
      </c>
      <c r="G396" s="1"/>
    </row>
    <row r="397" spans="1:7" x14ac:dyDescent="0.25">
      <c r="A397" s="1" t="s">
        <v>217</v>
      </c>
      <c r="B397" s="1" t="s">
        <v>585</v>
      </c>
      <c r="C397" s="1" t="s">
        <v>167</v>
      </c>
      <c r="D397" s="1" t="s">
        <v>14</v>
      </c>
      <c r="E397" s="1" t="s">
        <v>15</v>
      </c>
      <c r="F397" s="1" t="s">
        <v>586</v>
      </c>
      <c r="G397" s="1" t="s">
        <v>587</v>
      </c>
    </row>
    <row r="398" spans="1:7" x14ac:dyDescent="0.25">
      <c r="A398" s="1" t="s">
        <v>219</v>
      </c>
      <c r="B398" s="1" t="s">
        <v>205</v>
      </c>
      <c r="C398" s="1" t="s">
        <v>167</v>
      </c>
      <c r="D398" s="1" t="s">
        <v>14</v>
      </c>
      <c r="E398" s="1" t="s">
        <v>15</v>
      </c>
      <c r="F398" s="1" t="s">
        <v>570</v>
      </c>
      <c r="G398" s="1"/>
    </row>
    <row r="399" spans="1:7" x14ac:dyDescent="0.25">
      <c r="A399" s="1" t="s">
        <v>588</v>
      </c>
      <c r="B399" s="1" t="s">
        <v>567</v>
      </c>
      <c r="C399" s="1" t="s">
        <v>167</v>
      </c>
      <c r="D399" s="1" t="s">
        <v>14</v>
      </c>
      <c r="E399" s="1" t="s">
        <v>15</v>
      </c>
      <c r="F399" s="1" t="s">
        <v>568</v>
      </c>
      <c r="G399" s="1"/>
    </row>
    <row r="400" spans="1:7" x14ac:dyDescent="0.25">
      <c r="A400" s="1" t="s">
        <v>589</v>
      </c>
      <c r="B400" s="1" t="s">
        <v>258</v>
      </c>
      <c r="C400" s="1" t="s">
        <v>581</v>
      </c>
      <c r="D400" s="1" t="s">
        <v>14</v>
      </c>
      <c r="E400" s="1" t="s">
        <v>15</v>
      </c>
      <c r="F400" s="1" t="s">
        <v>259</v>
      </c>
      <c r="G400" s="1" t="s">
        <v>255</v>
      </c>
    </row>
    <row r="401" spans="1:7" x14ac:dyDescent="0.25">
      <c r="A401" s="1" t="s">
        <v>590</v>
      </c>
      <c r="B401" s="1" t="s">
        <v>243</v>
      </c>
      <c r="C401" s="1" t="s">
        <v>192</v>
      </c>
      <c r="D401" s="1" t="s">
        <v>14</v>
      </c>
      <c r="E401" s="1" t="s">
        <v>15</v>
      </c>
      <c r="F401" s="1" t="s">
        <v>245</v>
      </c>
      <c r="G401" s="1" t="s">
        <v>339</v>
      </c>
    </row>
    <row r="402" spans="1:7" x14ac:dyDescent="0.25">
      <c r="A402" s="1" t="s">
        <v>591</v>
      </c>
      <c r="B402" s="1" t="s">
        <v>253</v>
      </c>
      <c r="C402" s="1" t="s">
        <v>592</v>
      </c>
      <c r="D402" s="1" t="s">
        <v>14</v>
      </c>
      <c r="E402" s="1" t="s">
        <v>15</v>
      </c>
      <c r="F402" s="1" t="s">
        <v>254</v>
      </c>
      <c r="G402" s="1" t="s">
        <v>255</v>
      </c>
    </row>
    <row r="403" spans="1:7" x14ac:dyDescent="0.25">
      <c r="A403" s="1" t="s">
        <v>593</v>
      </c>
      <c r="B403" s="1" t="s">
        <v>253</v>
      </c>
      <c r="C403" s="1" t="s">
        <v>235</v>
      </c>
      <c r="D403" s="1" t="s">
        <v>14</v>
      </c>
      <c r="E403" s="1" t="s">
        <v>15</v>
      </c>
      <c r="F403" s="1" t="s">
        <v>254</v>
      </c>
      <c r="G403" s="1" t="s">
        <v>255</v>
      </c>
    </row>
    <row r="404" spans="1:7" x14ac:dyDescent="0.25">
      <c r="A404" s="1" t="s">
        <v>594</v>
      </c>
      <c r="B404" s="1" t="s">
        <v>466</v>
      </c>
      <c r="C404" s="1" t="s">
        <v>21</v>
      </c>
      <c r="D404" s="1" t="s">
        <v>14</v>
      </c>
      <c r="E404" s="1" t="s">
        <v>15</v>
      </c>
      <c r="F404" s="1" t="s">
        <v>467</v>
      </c>
      <c r="G404" s="1"/>
    </row>
    <row r="405" spans="1:7" x14ac:dyDescent="0.25">
      <c r="A405" s="1" t="s">
        <v>595</v>
      </c>
      <c r="B405" s="1" t="s">
        <v>466</v>
      </c>
      <c r="C405" s="1" t="s">
        <v>21</v>
      </c>
      <c r="D405" s="1" t="s">
        <v>14</v>
      </c>
      <c r="E405" s="1" t="s">
        <v>15</v>
      </c>
      <c r="F405" s="1" t="s">
        <v>467</v>
      </c>
      <c r="G405" s="1"/>
    </row>
    <row r="406" spans="1:7" x14ac:dyDescent="0.25">
      <c r="A406" s="1" t="s">
        <v>596</v>
      </c>
      <c r="B406" s="1" t="s">
        <v>239</v>
      </c>
      <c r="C406" s="1" t="s">
        <v>579</v>
      </c>
      <c r="D406" s="1" t="s">
        <v>14</v>
      </c>
      <c r="E406" s="1" t="s">
        <v>15</v>
      </c>
      <c r="F406" s="1" t="s">
        <v>240</v>
      </c>
      <c r="G406" s="1" t="s">
        <v>241</v>
      </c>
    </row>
    <row r="407" spans="1:7" x14ac:dyDescent="0.25">
      <c r="A407" s="1" t="s">
        <v>597</v>
      </c>
      <c r="B407" s="1" t="s">
        <v>258</v>
      </c>
      <c r="C407" s="1" t="s">
        <v>598</v>
      </c>
      <c r="D407" s="1" t="s">
        <v>14</v>
      </c>
      <c r="E407" s="1" t="s">
        <v>15</v>
      </c>
      <c r="F407" s="1" t="s">
        <v>259</v>
      </c>
      <c r="G407" s="1" t="s">
        <v>480</v>
      </c>
    </row>
    <row r="408" spans="1:7" x14ac:dyDescent="0.25">
      <c r="A408" s="1" t="s">
        <v>599</v>
      </c>
      <c r="B408" s="1" t="s">
        <v>600</v>
      </c>
      <c r="C408" s="1" t="s">
        <v>601</v>
      </c>
      <c r="D408" s="1" t="s">
        <v>24</v>
      </c>
      <c r="E408" s="1" t="s">
        <v>15</v>
      </c>
      <c r="F408" s="1" t="s">
        <v>602</v>
      </c>
      <c r="G408" s="1"/>
    </row>
    <row r="409" spans="1:7" x14ac:dyDescent="0.25">
      <c r="A409" s="1" t="s">
        <v>603</v>
      </c>
      <c r="B409" s="1" t="s">
        <v>600</v>
      </c>
      <c r="C409" s="1" t="s">
        <v>601</v>
      </c>
      <c r="D409" s="1" t="s">
        <v>14</v>
      </c>
      <c r="E409" s="1" t="s">
        <v>15</v>
      </c>
      <c r="F409" s="1" t="s">
        <v>602</v>
      </c>
      <c r="G409" s="1"/>
    </row>
    <row r="410" spans="1:7" x14ac:dyDescent="0.25">
      <c r="A410" s="1" t="s">
        <v>59</v>
      </c>
      <c r="B410" s="1" t="s">
        <v>12</v>
      </c>
      <c r="C410" s="1" t="s">
        <v>13</v>
      </c>
      <c r="D410" s="1" t="s">
        <v>14</v>
      </c>
      <c r="E410" s="1" t="s">
        <v>15</v>
      </c>
      <c r="F410" s="1" t="s">
        <v>256</v>
      </c>
      <c r="G410" s="1" t="s">
        <v>10</v>
      </c>
    </row>
    <row r="411" spans="1:7" x14ac:dyDescent="0.25">
      <c r="A411" s="1" t="s">
        <v>604</v>
      </c>
      <c r="B411" s="1" t="s">
        <v>258</v>
      </c>
      <c r="C411" s="1" t="s">
        <v>605</v>
      </c>
      <c r="D411" s="1" t="s">
        <v>14</v>
      </c>
      <c r="E411" s="1" t="s">
        <v>15</v>
      </c>
      <c r="F411" s="1" t="s">
        <v>259</v>
      </c>
      <c r="G411" s="1" t="s">
        <v>255</v>
      </c>
    </row>
    <row r="412" spans="1:7" x14ac:dyDescent="0.25">
      <c r="A412" s="1" t="s">
        <v>606</v>
      </c>
      <c r="B412" s="1" t="s">
        <v>258</v>
      </c>
      <c r="C412" s="1" t="s">
        <v>19</v>
      </c>
      <c r="D412" s="1" t="s">
        <v>14</v>
      </c>
      <c r="E412" s="1" t="s">
        <v>15</v>
      </c>
      <c r="F412" s="1" t="s">
        <v>259</v>
      </c>
      <c r="G412" s="1" t="s">
        <v>255</v>
      </c>
    </row>
    <row r="413" spans="1:7" x14ac:dyDescent="0.25">
      <c r="A413" s="1" t="s">
        <v>607</v>
      </c>
      <c r="B413" s="1" t="s">
        <v>258</v>
      </c>
      <c r="C413" s="1" t="s">
        <v>19</v>
      </c>
      <c r="D413" s="1" t="s">
        <v>14</v>
      </c>
      <c r="E413" s="1" t="s">
        <v>15</v>
      </c>
      <c r="F413" s="1" t="s">
        <v>259</v>
      </c>
      <c r="G413" s="1" t="s">
        <v>255</v>
      </c>
    </row>
    <row r="414" spans="1:7" x14ac:dyDescent="0.25">
      <c r="A414" s="1" t="s">
        <v>608</v>
      </c>
      <c r="B414" s="1" t="s">
        <v>253</v>
      </c>
      <c r="C414" s="1" t="s">
        <v>13</v>
      </c>
      <c r="D414" s="1" t="s">
        <v>14</v>
      </c>
      <c r="E414" s="1" t="s">
        <v>15</v>
      </c>
      <c r="F414" s="1" t="s">
        <v>254</v>
      </c>
      <c r="G414" s="1" t="s">
        <v>255</v>
      </c>
    </row>
    <row r="415" spans="1:7" x14ac:dyDescent="0.25">
      <c r="A415" s="1" t="s">
        <v>609</v>
      </c>
      <c r="B415" s="1" t="s">
        <v>508</v>
      </c>
      <c r="C415" s="1" t="s">
        <v>13</v>
      </c>
      <c r="D415" s="1" t="s">
        <v>509</v>
      </c>
      <c r="E415" s="1" t="s">
        <v>15</v>
      </c>
      <c r="F415" s="1" t="s">
        <v>510</v>
      </c>
      <c r="G415" s="1" t="s">
        <v>511</v>
      </c>
    </row>
    <row r="416" spans="1:7" x14ac:dyDescent="0.25">
      <c r="A416" s="1" t="s">
        <v>609</v>
      </c>
      <c r="B416" s="1" t="s">
        <v>253</v>
      </c>
      <c r="C416" s="1" t="s">
        <v>13</v>
      </c>
      <c r="D416" s="1" t="s">
        <v>14</v>
      </c>
      <c r="E416" s="1" t="s">
        <v>15</v>
      </c>
      <c r="F416" s="1" t="s">
        <v>254</v>
      </c>
      <c r="G416" s="1" t="s">
        <v>255</v>
      </c>
    </row>
    <row r="417" spans="1:7" x14ac:dyDescent="0.25">
      <c r="A417" s="1" t="s">
        <v>610</v>
      </c>
      <c r="B417" s="1" t="s">
        <v>253</v>
      </c>
      <c r="C417" s="1" t="s">
        <v>611</v>
      </c>
      <c r="D417" s="1" t="s">
        <v>14</v>
      </c>
      <c r="E417" s="1" t="s">
        <v>15</v>
      </c>
      <c r="F417" s="1" t="s">
        <v>254</v>
      </c>
      <c r="G417" s="1" t="s">
        <v>255</v>
      </c>
    </row>
    <row r="418" spans="1:7" x14ac:dyDescent="0.25">
      <c r="A418" s="1" t="s">
        <v>612</v>
      </c>
      <c r="B418" s="1" t="s">
        <v>356</v>
      </c>
      <c r="C418" s="1" t="s">
        <v>605</v>
      </c>
      <c r="D418" s="1" t="s">
        <v>14</v>
      </c>
      <c r="E418" s="1" t="s">
        <v>15</v>
      </c>
      <c r="F418" s="1" t="s">
        <v>357</v>
      </c>
      <c r="G418" s="1"/>
    </row>
    <row r="419" spans="1:7" x14ac:dyDescent="0.25">
      <c r="A419" s="1" t="s">
        <v>613</v>
      </c>
      <c r="B419" s="1" t="s">
        <v>253</v>
      </c>
      <c r="C419" s="1" t="s">
        <v>237</v>
      </c>
      <c r="D419" s="1" t="s">
        <v>14</v>
      </c>
      <c r="E419" s="1" t="s">
        <v>15</v>
      </c>
      <c r="F419" s="1" t="s">
        <v>254</v>
      </c>
      <c r="G419" s="1" t="s">
        <v>255</v>
      </c>
    </row>
    <row r="420" spans="1:7" x14ac:dyDescent="0.25">
      <c r="A420" s="1" t="s">
        <v>614</v>
      </c>
      <c r="B420" s="1" t="s">
        <v>253</v>
      </c>
      <c r="C420" s="1" t="s">
        <v>579</v>
      </c>
      <c r="D420" s="1" t="s">
        <v>14</v>
      </c>
      <c r="E420" s="1" t="s">
        <v>15</v>
      </c>
      <c r="F420" s="1" t="s">
        <v>254</v>
      </c>
      <c r="G420" s="1" t="s">
        <v>255</v>
      </c>
    </row>
    <row r="421" spans="1:7" x14ac:dyDescent="0.25">
      <c r="A421" s="1" t="s">
        <v>615</v>
      </c>
      <c r="B421" s="1" t="s">
        <v>253</v>
      </c>
      <c r="C421" s="1" t="s">
        <v>235</v>
      </c>
      <c r="D421" s="1" t="s">
        <v>14</v>
      </c>
      <c r="E421" s="1" t="s">
        <v>15</v>
      </c>
      <c r="F421" s="1" t="s">
        <v>254</v>
      </c>
      <c r="G421" s="1" t="s">
        <v>255</v>
      </c>
    </row>
    <row r="422" spans="1:7" x14ac:dyDescent="0.25">
      <c r="A422" s="1" t="s">
        <v>616</v>
      </c>
      <c r="B422" s="1" t="s">
        <v>253</v>
      </c>
      <c r="C422" s="1" t="s">
        <v>165</v>
      </c>
      <c r="D422" s="1" t="s">
        <v>14</v>
      </c>
      <c r="E422" s="1" t="s">
        <v>15</v>
      </c>
      <c r="F422" s="1" t="s">
        <v>254</v>
      </c>
      <c r="G422" s="1" t="s">
        <v>255</v>
      </c>
    </row>
    <row r="423" spans="1:7" x14ac:dyDescent="0.25">
      <c r="A423" s="1" t="s">
        <v>617</v>
      </c>
      <c r="B423" s="1" t="s">
        <v>253</v>
      </c>
      <c r="C423" s="1" t="s">
        <v>237</v>
      </c>
      <c r="D423" s="1" t="s">
        <v>14</v>
      </c>
      <c r="E423" s="1" t="s">
        <v>15</v>
      </c>
      <c r="F423" s="1" t="s">
        <v>254</v>
      </c>
      <c r="G423" s="1" t="s">
        <v>255</v>
      </c>
    </row>
    <row r="424" spans="1:7" x14ac:dyDescent="0.25">
      <c r="A424" s="1" t="s">
        <v>618</v>
      </c>
      <c r="B424" s="1" t="s">
        <v>253</v>
      </c>
      <c r="C424" s="1" t="s">
        <v>237</v>
      </c>
      <c r="D424" s="1" t="s">
        <v>14</v>
      </c>
      <c r="E424" s="1" t="s">
        <v>15</v>
      </c>
      <c r="F424" s="1" t="s">
        <v>254</v>
      </c>
      <c r="G424" s="1" t="s">
        <v>255</v>
      </c>
    </row>
    <row r="425" spans="1:7" x14ac:dyDescent="0.25">
      <c r="A425" s="1" t="s">
        <v>618</v>
      </c>
      <c r="B425" s="1" t="s">
        <v>239</v>
      </c>
      <c r="C425" s="1" t="s">
        <v>237</v>
      </c>
      <c r="D425" s="1" t="s">
        <v>14</v>
      </c>
      <c r="E425" s="1" t="s">
        <v>15</v>
      </c>
      <c r="F425" s="1" t="s">
        <v>240</v>
      </c>
      <c r="G425" s="1" t="s">
        <v>241</v>
      </c>
    </row>
    <row r="426" spans="1:7" x14ac:dyDescent="0.25">
      <c r="A426" s="1" t="s">
        <v>619</v>
      </c>
      <c r="B426" s="1" t="s">
        <v>253</v>
      </c>
      <c r="C426" s="1" t="s">
        <v>237</v>
      </c>
      <c r="D426" s="1" t="s">
        <v>14</v>
      </c>
      <c r="E426" s="1" t="s">
        <v>15</v>
      </c>
      <c r="F426" s="1" t="s">
        <v>254</v>
      </c>
      <c r="G426" s="1" t="s">
        <v>255</v>
      </c>
    </row>
    <row r="427" spans="1:7" x14ac:dyDescent="0.25">
      <c r="A427" s="1" t="s">
        <v>620</v>
      </c>
      <c r="B427" s="1" t="s">
        <v>253</v>
      </c>
      <c r="C427" s="1" t="s">
        <v>169</v>
      </c>
      <c r="D427" s="1" t="s">
        <v>14</v>
      </c>
      <c r="E427" s="1" t="s">
        <v>15</v>
      </c>
      <c r="F427" s="1" t="s">
        <v>254</v>
      </c>
      <c r="G427" s="1" t="s">
        <v>255</v>
      </c>
    </row>
    <row r="428" spans="1:7" x14ac:dyDescent="0.25">
      <c r="A428" s="1" t="s">
        <v>620</v>
      </c>
      <c r="B428" s="1" t="s">
        <v>239</v>
      </c>
      <c r="C428" s="1" t="s">
        <v>169</v>
      </c>
      <c r="D428" s="1" t="s">
        <v>14</v>
      </c>
      <c r="E428" s="1" t="s">
        <v>15</v>
      </c>
      <c r="F428" s="1" t="s">
        <v>240</v>
      </c>
      <c r="G428" s="1" t="s">
        <v>241</v>
      </c>
    </row>
    <row r="429" spans="1:7" x14ac:dyDescent="0.25">
      <c r="A429" s="1" t="s">
        <v>621</v>
      </c>
      <c r="B429" s="1" t="s">
        <v>253</v>
      </c>
      <c r="C429" s="1" t="s">
        <v>165</v>
      </c>
      <c r="D429" s="1" t="s">
        <v>14</v>
      </c>
      <c r="E429" s="1" t="s">
        <v>15</v>
      </c>
      <c r="F429" s="1" t="s">
        <v>254</v>
      </c>
      <c r="G429" s="1" t="s">
        <v>255</v>
      </c>
    </row>
    <row r="430" spans="1:7" x14ac:dyDescent="0.25">
      <c r="A430" s="1" t="s">
        <v>622</v>
      </c>
      <c r="B430" s="1" t="s">
        <v>253</v>
      </c>
      <c r="C430" s="1" t="s">
        <v>235</v>
      </c>
      <c r="D430" s="1" t="s">
        <v>14</v>
      </c>
      <c r="E430" s="1" t="s">
        <v>15</v>
      </c>
      <c r="F430" s="1" t="s">
        <v>254</v>
      </c>
      <c r="G430" s="1" t="s">
        <v>255</v>
      </c>
    </row>
    <row r="431" spans="1:7" x14ac:dyDescent="0.25">
      <c r="A431" s="1" t="s">
        <v>623</v>
      </c>
      <c r="B431" s="1" t="s">
        <v>253</v>
      </c>
      <c r="C431" s="1" t="s">
        <v>237</v>
      </c>
      <c r="D431" s="1" t="s">
        <v>14</v>
      </c>
      <c r="E431" s="1" t="s">
        <v>15</v>
      </c>
      <c r="F431" s="1" t="s">
        <v>254</v>
      </c>
      <c r="G431" s="1" t="s">
        <v>255</v>
      </c>
    </row>
    <row r="432" spans="1:7" x14ac:dyDescent="0.25">
      <c r="A432" s="1" t="s">
        <v>624</v>
      </c>
      <c r="B432" s="1" t="s">
        <v>253</v>
      </c>
      <c r="C432" s="1" t="s">
        <v>19</v>
      </c>
      <c r="D432" s="1" t="s">
        <v>14</v>
      </c>
      <c r="E432" s="1" t="s">
        <v>15</v>
      </c>
      <c r="F432" s="1" t="s">
        <v>254</v>
      </c>
      <c r="G432" s="1" t="s">
        <v>255</v>
      </c>
    </row>
    <row r="433" spans="1:7" x14ac:dyDescent="0.25">
      <c r="A433" s="1" t="s">
        <v>624</v>
      </c>
      <c r="B433" s="1" t="s">
        <v>239</v>
      </c>
      <c r="C433" s="1" t="s">
        <v>19</v>
      </c>
      <c r="D433" s="1" t="s">
        <v>14</v>
      </c>
      <c r="E433" s="1" t="s">
        <v>15</v>
      </c>
      <c r="F433" s="1" t="s">
        <v>240</v>
      </c>
      <c r="G433" s="1" t="s">
        <v>241</v>
      </c>
    </row>
    <row r="434" spans="1:7" x14ac:dyDescent="0.25">
      <c r="A434" s="1" t="s">
        <v>625</v>
      </c>
      <c r="B434" s="1" t="s">
        <v>253</v>
      </c>
      <c r="C434" s="1" t="s">
        <v>626</v>
      </c>
      <c r="D434" s="1" t="s">
        <v>14</v>
      </c>
      <c r="E434" s="1" t="s">
        <v>15</v>
      </c>
      <c r="F434" s="1" t="s">
        <v>254</v>
      </c>
      <c r="G434" s="1" t="s">
        <v>255</v>
      </c>
    </row>
    <row r="435" spans="1:7" x14ac:dyDescent="0.25">
      <c r="A435" s="1" t="s">
        <v>627</v>
      </c>
      <c r="B435" s="1" t="s">
        <v>253</v>
      </c>
      <c r="C435" s="1" t="s">
        <v>235</v>
      </c>
      <c r="D435" s="1" t="s">
        <v>14</v>
      </c>
      <c r="E435" s="1" t="s">
        <v>15</v>
      </c>
      <c r="F435" s="1" t="s">
        <v>254</v>
      </c>
      <c r="G435" s="1" t="s">
        <v>255</v>
      </c>
    </row>
    <row r="436" spans="1:7" x14ac:dyDescent="0.25">
      <c r="A436" s="1" t="s">
        <v>628</v>
      </c>
      <c r="B436" s="1" t="s">
        <v>367</v>
      </c>
      <c r="C436" s="1" t="s">
        <v>235</v>
      </c>
      <c r="D436" s="1" t="s">
        <v>14</v>
      </c>
      <c r="E436" s="1" t="s">
        <v>15</v>
      </c>
      <c r="F436" s="1" t="s">
        <v>368</v>
      </c>
      <c r="G436" s="1" t="s">
        <v>255</v>
      </c>
    </row>
    <row r="437" spans="1:7" x14ac:dyDescent="0.25">
      <c r="A437" s="1" t="s">
        <v>629</v>
      </c>
      <c r="B437" s="1" t="s">
        <v>367</v>
      </c>
      <c r="C437" s="1" t="s">
        <v>235</v>
      </c>
      <c r="D437" s="1" t="s">
        <v>14</v>
      </c>
      <c r="E437" s="1" t="s">
        <v>15</v>
      </c>
      <c r="F437" s="1" t="s">
        <v>368</v>
      </c>
      <c r="G437" s="1" t="s">
        <v>255</v>
      </c>
    </row>
    <row r="438" spans="1:7" x14ac:dyDescent="0.25">
      <c r="A438" s="1" t="s">
        <v>630</v>
      </c>
      <c r="B438" s="1" t="s">
        <v>253</v>
      </c>
      <c r="C438" s="1" t="s">
        <v>235</v>
      </c>
      <c r="D438" s="1" t="s">
        <v>14</v>
      </c>
      <c r="E438" s="1" t="s">
        <v>15</v>
      </c>
      <c r="F438" s="1" t="s">
        <v>254</v>
      </c>
      <c r="G438" s="1" t="s">
        <v>255</v>
      </c>
    </row>
    <row r="439" spans="1:7" x14ac:dyDescent="0.25">
      <c r="A439" s="1" t="s">
        <v>631</v>
      </c>
      <c r="B439" s="1" t="s">
        <v>253</v>
      </c>
      <c r="C439" s="1" t="s">
        <v>235</v>
      </c>
      <c r="D439" s="1" t="s">
        <v>14</v>
      </c>
      <c r="E439" s="1" t="s">
        <v>15</v>
      </c>
      <c r="F439" s="1" t="s">
        <v>254</v>
      </c>
      <c r="G439" s="1" t="s">
        <v>255</v>
      </c>
    </row>
    <row r="440" spans="1:7" x14ac:dyDescent="0.25">
      <c r="A440" s="1" t="s">
        <v>632</v>
      </c>
      <c r="B440" s="1" t="s">
        <v>253</v>
      </c>
      <c r="C440" s="1" t="s">
        <v>611</v>
      </c>
      <c r="D440" s="1" t="s">
        <v>14</v>
      </c>
      <c r="E440" s="1" t="s">
        <v>15</v>
      </c>
      <c r="F440" s="1" t="s">
        <v>254</v>
      </c>
      <c r="G440" s="1" t="s">
        <v>255</v>
      </c>
    </row>
    <row r="441" spans="1:7" x14ac:dyDescent="0.25">
      <c r="A441" s="1" t="s">
        <v>632</v>
      </c>
      <c r="B441" s="1" t="s">
        <v>239</v>
      </c>
      <c r="C441" s="1" t="s">
        <v>611</v>
      </c>
      <c r="D441" s="1" t="s">
        <v>14</v>
      </c>
      <c r="E441" s="1" t="s">
        <v>15</v>
      </c>
      <c r="F441" s="1" t="s">
        <v>240</v>
      </c>
      <c r="G441" s="1" t="s">
        <v>241</v>
      </c>
    </row>
    <row r="442" spans="1:7" x14ac:dyDescent="0.25">
      <c r="A442" s="1" t="s">
        <v>633</v>
      </c>
      <c r="B442" s="1" t="s">
        <v>253</v>
      </c>
      <c r="C442" s="1" t="s">
        <v>605</v>
      </c>
      <c r="D442" s="1" t="s">
        <v>14</v>
      </c>
      <c r="E442" s="1" t="s">
        <v>15</v>
      </c>
      <c r="F442" s="1" t="s">
        <v>254</v>
      </c>
      <c r="G442" s="1" t="s">
        <v>255</v>
      </c>
    </row>
    <row r="443" spans="1:7" x14ac:dyDescent="0.25">
      <c r="A443" s="1" t="s">
        <v>634</v>
      </c>
      <c r="B443" s="1" t="s">
        <v>253</v>
      </c>
      <c r="C443" s="1" t="s">
        <v>235</v>
      </c>
      <c r="D443" s="1" t="s">
        <v>273</v>
      </c>
      <c r="E443" s="1" t="s">
        <v>15</v>
      </c>
      <c r="F443" s="1" t="s">
        <v>254</v>
      </c>
      <c r="G443" s="1" t="s">
        <v>255</v>
      </c>
    </row>
    <row r="444" spans="1:7" x14ac:dyDescent="0.25">
      <c r="A444" s="1" t="s">
        <v>635</v>
      </c>
      <c r="B444" s="1" t="s">
        <v>253</v>
      </c>
      <c r="C444" s="1" t="s">
        <v>557</v>
      </c>
      <c r="D444" s="1" t="s">
        <v>14</v>
      </c>
      <c r="E444" s="1" t="s">
        <v>15</v>
      </c>
      <c r="F444" s="1" t="s">
        <v>254</v>
      </c>
      <c r="G444" s="1" t="s">
        <v>255</v>
      </c>
    </row>
    <row r="445" spans="1:7" x14ac:dyDescent="0.25">
      <c r="A445" s="1" t="s">
        <v>635</v>
      </c>
      <c r="B445" s="1" t="s">
        <v>239</v>
      </c>
      <c r="C445" s="1" t="s">
        <v>557</v>
      </c>
      <c r="D445" s="1" t="s">
        <v>14</v>
      </c>
      <c r="E445" s="1" t="s">
        <v>15</v>
      </c>
      <c r="F445" s="1" t="s">
        <v>240</v>
      </c>
      <c r="G445" s="1" t="s">
        <v>241</v>
      </c>
    </row>
    <row r="446" spans="1:7" x14ac:dyDescent="0.25">
      <c r="A446" s="1" t="s">
        <v>636</v>
      </c>
      <c r="B446" s="1" t="s">
        <v>253</v>
      </c>
      <c r="C446" s="1" t="s">
        <v>165</v>
      </c>
      <c r="D446" s="1" t="s">
        <v>14</v>
      </c>
      <c r="E446" s="1" t="s">
        <v>15</v>
      </c>
      <c r="F446" s="1" t="s">
        <v>254</v>
      </c>
      <c r="G446" s="1" t="s">
        <v>255</v>
      </c>
    </row>
    <row r="447" spans="1:7" x14ac:dyDescent="0.25">
      <c r="A447" s="1" t="s">
        <v>637</v>
      </c>
      <c r="B447" s="1" t="s">
        <v>253</v>
      </c>
      <c r="C447" s="1" t="s">
        <v>21</v>
      </c>
      <c r="D447" s="1" t="s">
        <v>14</v>
      </c>
      <c r="E447" s="1" t="s">
        <v>15</v>
      </c>
      <c r="F447" s="1" t="s">
        <v>254</v>
      </c>
      <c r="G447" s="1" t="s">
        <v>255</v>
      </c>
    </row>
    <row r="448" spans="1:7" x14ac:dyDescent="0.25">
      <c r="A448" s="1" t="s">
        <v>637</v>
      </c>
      <c r="B448" s="1" t="s">
        <v>239</v>
      </c>
      <c r="C448" s="1" t="s">
        <v>21</v>
      </c>
      <c r="D448" s="1" t="s">
        <v>14</v>
      </c>
      <c r="E448" s="1" t="s">
        <v>15</v>
      </c>
      <c r="F448" s="1" t="s">
        <v>240</v>
      </c>
      <c r="G448" s="1" t="s">
        <v>241</v>
      </c>
    </row>
    <row r="449" spans="1:7" x14ac:dyDescent="0.25">
      <c r="A449" s="1" t="s">
        <v>638</v>
      </c>
      <c r="B449" s="1" t="s">
        <v>253</v>
      </c>
      <c r="C449" s="1" t="s">
        <v>21</v>
      </c>
      <c r="D449" s="1" t="s">
        <v>14</v>
      </c>
      <c r="E449" s="1" t="s">
        <v>15</v>
      </c>
      <c r="F449" s="1" t="s">
        <v>254</v>
      </c>
      <c r="G449" s="1" t="s">
        <v>255</v>
      </c>
    </row>
    <row r="450" spans="1:7" x14ac:dyDescent="0.25">
      <c r="A450" s="1" t="s">
        <v>638</v>
      </c>
      <c r="B450" s="1" t="s">
        <v>239</v>
      </c>
      <c r="C450" s="1" t="s">
        <v>21</v>
      </c>
      <c r="D450" s="1" t="s">
        <v>14</v>
      </c>
      <c r="E450" s="1" t="s">
        <v>15</v>
      </c>
      <c r="F450" s="1" t="s">
        <v>240</v>
      </c>
      <c r="G450" s="1" t="s">
        <v>241</v>
      </c>
    </row>
    <row r="451" spans="1:7" x14ac:dyDescent="0.25">
      <c r="A451" s="1" t="s">
        <v>639</v>
      </c>
      <c r="B451" s="1" t="s">
        <v>258</v>
      </c>
      <c r="C451" s="1" t="s">
        <v>640</v>
      </c>
      <c r="D451" s="1" t="s">
        <v>14</v>
      </c>
      <c r="E451" s="1" t="s">
        <v>15</v>
      </c>
      <c r="F451" s="1" t="s">
        <v>259</v>
      </c>
      <c r="G451" s="1" t="s">
        <v>480</v>
      </c>
    </row>
    <row r="452" spans="1:7" x14ac:dyDescent="0.25">
      <c r="A452" s="1" t="s">
        <v>639</v>
      </c>
      <c r="B452" s="1" t="s">
        <v>253</v>
      </c>
      <c r="C452" s="1" t="s">
        <v>640</v>
      </c>
      <c r="D452" s="1" t="s">
        <v>14</v>
      </c>
      <c r="E452" s="1" t="s">
        <v>15</v>
      </c>
      <c r="F452" s="1" t="s">
        <v>254</v>
      </c>
      <c r="G452" s="1" t="s">
        <v>394</v>
      </c>
    </row>
    <row r="453" spans="1:7" x14ac:dyDescent="0.25">
      <c r="A453" s="1" t="s">
        <v>641</v>
      </c>
      <c r="B453" s="1" t="s">
        <v>253</v>
      </c>
      <c r="C453" s="1" t="s">
        <v>167</v>
      </c>
      <c r="D453" s="1" t="s">
        <v>14</v>
      </c>
      <c r="E453" s="1" t="s">
        <v>15</v>
      </c>
      <c r="F453" s="1" t="s">
        <v>254</v>
      </c>
      <c r="G453" s="1" t="s">
        <v>255</v>
      </c>
    </row>
    <row r="454" spans="1:7" x14ac:dyDescent="0.25">
      <c r="A454" s="1" t="s">
        <v>641</v>
      </c>
      <c r="B454" s="1" t="s">
        <v>239</v>
      </c>
      <c r="C454" s="1" t="s">
        <v>167</v>
      </c>
      <c r="D454" s="1" t="s">
        <v>14</v>
      </c>
      <c r="E454" s="1" t="s">
        <v>15</v>
      </c>
      <c r="F454" s="1" t="s">
        <v>240</v>
      </c>
      <c r="G454" s="1" t="s">
        <v>241</v>
      </c>
    </row>
    <row r="455" spans="1:7" x14ac:dyDescent="0.25">
      <c r="A455" s="1" t="s">
        <v>642</v>
      </c>
      <c r="B455" s="1" t="s">
        <v>253</v>
      </c>
      <c r="C455" s="1" t="s">
        <v>64</v>
      </c>
      <c r="D455" s="1" t="s">
        <v>14</v>
      </c>
      <c r="E455" s="1" t="s">
        <v>15</v>
      </c>
      <c r="F455" s="1" t="s">
        <v>254</v>
      </c>
      <c r="G455" s="1" t="s">
        <v>255</v>
      </c>
    </row>
    <row r="456" spans="1:7" x14ac:dyDescent="0.25">
      <c r="A456" s="1" t="s">
        <v>643</v>
      </c>
      <c r="B456" s="1" t="s">
        <v>253</v>
      </c>
      <c r="C456" s="1" t="s">
        <v>19</v>
      </c>
      <c r="D456" s="1" t="s">
        <v>14</v>
      </c>
      <c r="E456" s="1" t="s">
        <v>15</v>
      </c>
      <c r="F456" s="1" t="s">
        <v>254</v>
      </c>
      <c r="G456" s="1" t="s">
        <v>255</v>
      </c>
    </row>
    <row r="457" spans="1:7" x14ac:dyDescent="0.25">
      <c r="A457" s="1" t="s">
        <v>644</v>
      </c>
      <c r="B457" s="1" t="s">
        <v>253</v>
      </c>
      <c r="C457" s="1" t="s">
        <v>237</v>
      </c>
      <c r="D457" s="1" t="s">
        <v>14</v>
      </c>
      <c r="E457" s="1" t="s">
        <v>15</v>
      </c>
      <c r="F457" s="1" t="s">
        <v>254</v>
      </c>
      <c r="G457" s="1" t="s">
        <v>255</v>
      </c>
    </row>
    <row r="458" spans="1:7" x14ac:dyDescent="0.25">
      <c r="A458" s="1" t="s">
        <v>645</v>
      </c>
      <c r="B458" s="1" t="s">
        <v>422</v>
      </c>
      <c r="C458" s="1" t="s">
        <v>190</v>
      </c>
      <c r="D458" s="1" t="s">
        <v>14</v>
      </c>
      <c r="E458" s="1" t="s">
        <v>15</v>
      </c>
      <c r="F458" s="1" t="s">
        <v>423</v>
      </c>
      <c r="G458" s="1"/>
    </row>
    <row r="459" spans="1:7" x14ac:dyDescent="0.25">
      <c r="A459" s="1" t="s">
        <v>646</v>
      </c>
      <c r="B459" s="1" t="s">
        <v>253</v>
      </c>
      <c r="C459" s="1" t="s">
        <v>557</v>
      </c>
      <c r="D459" s="1" t="s">
        <v>14</v>
      </c>
      <c r="E459" s="1" t="s">
        <v>15</v>
      </c>
      <c r="F459" s="1" t="s">
        <v>254</v>
      </c>
      <c r="G459" s="1" t="s">
        <v>255</v>
      </c>
    </row>
    <row r="460" spans="1:7" x14ac:dyDescent="0.25">
      <c r="A460" s="1" t="s">
        <v>647</v>
      </c>
      <c r="B460" s="1" t="s">
        <v>253</v>
      </c>
      <c r="C460" s="1" t="s">
        <v>598</v>
      </c>
      <c r="D460" s="1" t="s">
        <v>14</v>
      </c>
      <c r="E460" s="1" t="s">
        <v>15</v>
      </c>
      <c r="F460" s="1" t="s">
        <v>254</v>
      </c>
      <c r="G460" s="1" t="s">
        <v>255</v>
      </c>
    </row>
    <row r="461" spans="1:7" x14ac:dyDescent="0.25">
      <c r="A461" s="1" t="s">
        <v>647</v>
      </c>
      <c r="B461" s="1" t="s">
        <v>239</v>
      </c>
      <c r="C461" s="1" t="s">
        <v>598</v>
      </c>
      <c r="D461" s="1" t="s">
        <v>14</v>
      </c>
      <c r="E461" s="1" t="s">
        <v>15</v>
      </c>
      <c r="F461" s="1" t="s">
        <v>240</v>
      </c>
      <c r="G461" s="1" t="s">
        <v>241</v>
      </c>
    </row>
    <row r="462" spans="1:7" x14ac:dyDescent="0.25">
      <c r="A462" s="1" t="s">
        <v>648</v>
      </c>
      <c r="B462" s="1" t="s">
        <v>253</v>
      </c>
      <c r="C462" s="1" t="s">
        <v>64</v>
      </c>
      <c r="D462" s="1" t="s">
        <v>14</v>
      </c>
      <c r="E462" s="1" t="s">
        <v>15</v>
      </c>
      <c r="F462" s="1" t="s">
        <v>254</v>
      </c>
      <c r="G462" s="1" t="s">
        <v>255</v>
      </c>
    </row>
    <row r="463" spans="1:7" x14ac:dyDescent="0.25">
      <c r="A463" s="1" t="s">
        <v>648</v>
      </c>
      <c r="B463" s="1" t="s">
        <v>239</v>
      </c>
      <c r="C463" s="1" t="s">
        <v>64</v>
      </c>
      <c r="D463" s="1" t="s">
        <v>14</v>
      </c>
      <c r="E463" s="1" t="s">
        <v>15</v>
      </c>
      <c r="F463" s="1" t="s">
        <v>240</v>
      </c>
      <c r="G463" s="1" t="s">
        <v>241</v>
      </c>
    </row>
    <row r="464" spans="1:7" x14ac:dyDescent="0.25">
      <c r="A464" s="1" t="s">
        <v>649</v>
      </c>
      <c r="B464" s="1" t="s">
        <v>367</v>
      </c>
      <c r="C464" s="1" t="s">
        <v>64</v>
      </c>
      <c r="D464" s="1" t="s">
        <v>14</v>
      </c>
      <c r="E464" s="1" t="s">
        <v>15</v>
      </c>
      <c r="F464" s="1" t="s">
        <v>368</v>
      </c>
      <c r="G464" s="1" t="s">
        <v>255</v>
      </c>
    </row>
    <row r="465" spans="1:7" x14ac:dyDescent="0.25">
      <c r="A465" s="1" t="s">
        <v>650</v>
      </c>
      <c r="B465" s="1" t="s">
        <v>253</v>
      </c>
      <c r="C465" s="1" t="s">
        <v>592</v>
      </c>
      <c r="D465" s="1" t="s">
        <v>14</v>
      </c>
      <c r="E465" s="1" t="s">
        <v>15</v>
      </c>
      <c r="F465" s="1" t="s">
        <v>254</v>
      </c>
      <c r="G465" s="1" t="s">
        <v>255</v>
      </c>
    </row>
    <row r="466" spans="1:7" x14ac:dyDescent="0.25">
      <c r="A466" s="1" t="s">
        <v>650</v>
      </c>
      <c r="B466" s="1" t="s">
        <v>239</v>
      </c>
      <c r="C466" s="1" t="s">
        <v>592</v>
      </c>
      <c r="D466" s="1" t="s">
        <v>14</v>
      </c>
      <c r="E466" s="1" t="s">
        <v>15</v>
      </c>
      <c r="F466" s="1" t="s">
        <v>240</v>
      </c>
      <c r="G466" s="1" t="s">
        <v>241</v>
      </c>
    </row>
    <row r="467" spans="1:7" x14ac:dyDescent="0.25">
      <c r="A467" s="1" t="s">
        <v>651</v>
      </c>
      <c r="B467" s="1" t="s">
        <v>253</v>
      </c>
      <c r="C467" s="1" t="s">
        <v>190</v>
      </c>
      <c r="D467" s="1" t="s">
        <v>14</v>
      </c>
      <c r="E467" s="1" t="s">
        <v>15</v>
      </c>
      <c r="F467" s="1" t="s">
        <v>254</v>
      </c>
      <c r="G467" s="1" t="s">
        <v>255</v>
      </c>
    </row>
    <row r="468" spans="1:7" x14ac:dyDescent="0.25">
      <c r="A468" s="1" t="s">
        <v>652</v>
      </c>
      <c r="B468" s="1" t="s">
        <v>409</v>
      </c>
      <c r="C468" s="1" t="s">
        <v>605</v>
      </c>
      <c r="D468" s="1" t="s">
        <v>14</v>
      </c>
      <c r="E468" s="1" t="s">
        <v>15</v>
      </c>
      <c r="F468" s="1" t="s">
        <v>410</v>
      </c>
      <c r="G468" s="1"/>
    </row>
    <row r="469" spans="1:7" x14ac:dyDescent="0.25">
      <c r="A469" s="1" t="s">
        <v>653</v>
      </c>
      <c r="B469" s="1" t="s">
        <v>239</v>
      </c>
      <c r="C469" s="1" t="s">
        <v>605</v>
      </c>
      <c r="D469" s="1" t="s">
        <v>14</v>
      </c>
      <c r="E469" s="1" t="s">
        <v>15</v>
      </c>
      <c r="F469" s="1" t="s">
        <v>240</v>
      </c>
      <c r="G469" s="1" t="s">
        <v>241</v>
      </c>
    </row>
    <row r="470" spans="1:7" x14ac:dyDescent="0.25">
      <c r="A470" s="1" t="s">
        <v>654</v>
      </c>
      <c r="B470" s="1" t="s">
        <v>253</v>
      </c>
      <c r="C470" s="1" t="s">
        <v>237</v>
      </c>
      <c r="D470" s="1" t="s">
        <v>14</v>
      </c>
      <c r="E470" s="1" t="s">
        <v>15</v>
      </c>
      <c r="F470" s="1" t="s">
        <v>254</v>
      </c>
      <c r="G470" s="1" t="s">
        <v>255</v>
      </c>
    </row>
    <row r="471" spans="1:7" x14ac:dyDescent="0.25">
      <c r="A471" s="1" t="s">
        <v>654</v>
      </c>
      <c r="B471" s="1" t="s">
        <v>239</v>
      </c>
      <c r="C471" s="1" t="s">
        <v>237</v>
      </c>
      <c r="D471" s="1" t="s">
        <v>14</v>
      </c>
      <c r="E471" s="1" t="s">
        <v>15</v>
      </c>
      <c r="F471" s="1" t="s">
        <v>240</v>
      </c>
      <c r="G471" s="1" t="s">
        <v>241</v>
      </c>
    </row>
    <row r="472" spans="1:7" x14ac:dyDescent="0.25">
      <c r="A472" s="1" t="s">
        <v>655</v>
      </c>
      <c r="B472" s="1" t="s">
        <v>253</v>
      </c>
      <c r="C472" s="1" t="s">
        <v>237</v>
      </c>
      <c r="D472" s="1" t="s">
        <v>14</v>
      </c>
      <c r="E472" s="1" t="s">
        <v>15</v>
      </c>
      <c r="F472" s="1" t="s">
        <v>254</v>
      </c>
      <c r="G472" s="1" t="s">
        <v>255</v>
      </c>
    </row>
    <row r="473" spans="1:7" x14ac:dyDescent="0.25">
      <c r="A473" s="1" t="s">
        <v>655</v>
      </c>
      <c r="B473" s="1" t="s">
        <v>239</v>
      </c>
      <c r="C473" s="1" t="s">
        <v>237</v>
      </c>
      <c r="D473" s="1" t="s">
        <v>14</v>
      </c>
      <c r="E473" s="1" t="s">
        <v>15</v>
      </c>
      <c r="F473" s="1" t="s">
        <v>240</v>
      </c>
      <c r="G473" s="1" t="s">
        <v>241</v>
      </c>
    </row>
    <row r="474" spans="1:7" x14ac:dyDescent="0.25">
      <c r="A474" s="1" t="s">
        <v>656</v>
      </c>
      <c r="B474" s="1" t="s">
        <v>253</v>
      </c>
      <c r="C474" s="1" t="s">
        <v>611</v>
      </c>
      <c r="D474" s="1" t="s">
        <v>14</v>
      </c>
      <c r="E474" s="1" t="s">
        <v>15</v>
      </c>
      <c r="F474" s="1" t="s">
        <v>254</v>
      </c>
      <c r="G474" s="1" t="s">
        <v>255</v>
      </c>
    </row>
    <row r="475" spans="1:7" x14ac:dyDescent="0.25">
      <c r="A475" s="1" t="s">
        <v>657</v>
      </c>
      <c r="B475" s="1" t="s">
        <v>417</v>
      </c>
      <c r="C475" s="1" t="s">
        <v>237</v>
      </c>
      <c r="D475" s="1" t="s">
        <v>14</v>
      </c>
      <c r="E475" s="1" t="s">
        <v>15</v>
      </c>
      <c r="F475" s="1" t="s">
        <v>254</v>
      </c>
      <c r="G475" s="1" t="s">
        <v>260</v>
      </c>
    </row>
    <row r="476" spans="1:7" x14ac:dyDescent="0.25">
      <c r="A476" s="1" t="s">
        <v>657</v>
      </c>
      <c r="B476" s="1" t="s">
        <v>239</v>
      </c>
      <c r="C476" s="1" t="s">
        <v>237</v>
      </c>
      <c r="D476" s="1" t="s">
        <v>14</v>
      </c>
      <c r="E476" s="1" t="s">
        <v>15</v>
      </c>
      <c r="F476" s="1" t="s">
        <v>240</v>
      </c>
      <c r="G476" s="1" t="s">
        <v>241</v>
      </c>
    </row>
    <row r="477" spans="1:7" x14ac:dyDescent="0.25">
      <c r="A477" s="1" t="s">
        <v>132</v>
      </c>
      <c r="B477" s="1" t="s">
        <v>91</v>
      </c>
      <c r="C477" s="1" t="s">
        <v>611</v>
      </c>
      <c r="D477" s="1" t="s">
        <v>14</v>
      </c>
      <c r="E477" s="1" t="s">
        <v>15</v>
      </c>
      <c r="F477" s="1" t="s">
        <v>330</v>
      </c>
      <c r="G477" s="1" t="s">
        <v>90</v>
      </c>
    </row>
    <row r="478" spans="1:7" x14ac:dyDescent="0.25">
      <c r="A478" s="1" t="s">
        <v>134</v>
      </c>
      <c r="B478" s="1" t="s">
        <v>91</v>
      </c>
      <c r="C478" s="1" t="s">
        <v>611</v>
      </c>
      <c r="D478" s="1" t="s">
        <v>14</v>
      </c>
      <c r="E478" s="1" t="s">
        <v>15</v>
      </c>
      <c r="F478" s="1" t="s">
        <v>330</v>
      </c>
      <c r="G478" s="1" t="s">
        <v>90</v>
      </c>
    </row>
    <row r="479" spans="1:7" x14ac:dyDescent="0.25">
      <c r="A479" s="1" t="s">
        <v>135</v>
      </c>
      <c r="B479" s="1" t="s">
        <v>91</v>
      </c>
      <c r="C479" s="1" t="s">
        <v>611</v>
      </c>
      <c r="D479" s="1" t="s">
        <v>14</v>
      </c>
      <c r="E479" s="1" t="s">
        <v>15</v>
      </c>
      <c r="F479" s="1" t="s">
        <v>330</v>
      </c>
      <c r="G479" s="1" t="s">
        <v>90</v>
      </c>
    </row>
    <row r="480" spans="1:7" x14ac:dyDescent="0.25">
      <c r="A480" s="1" t="s">
        <v>136</v>
      </c>
      <c r="B480" s="1" t="s">
        <v>91</v>
      </c>
      <c r="C480" s="1" t="s">
        <v>307</v>
      </c>
      <c r="D480" s="1" t="s">
        <v>14</v>
      </c>
      <c r="E480" s="1" t="s">
        <v>15</v>
      </c>
      <c r="F480" s="1" t="s">
        <v>330</v>
      </c>
      <c r="G480" s="1" t="s">
        <v>90</v>
      </c>
    </row>
    <row r="481" spans="1:7" x14ac:dyDescent="0.25">
      <c r="A481" s="1" t="s">
        <v>137</v>
      </c>
      <c r="B481" s="1" t="s">
        <v>91</v>
      </c>
      <c r="C481" s="1" t="s">
        <v>64</v>
      </c>
      <c r="D481" s="1" t="s">
        <v>14</v>
      </c>
      <c r="E481" s="1" t="s">
        <v>15</v>
      </c>
      <c r="F481" s="1" t="s">
        <v>330</v>
      </c>
      <c r="G481" s="1" t="s">
        <v>90</v>
      </c>
    </row>
    <row r="482" spans="1:7" x14ac:dyDescent="0.25">
      <c r="A482" s="1" t="s">
        <v>139</v>
      </c>
      <c r="B482" s="1" t="s">
        <v>91</v>
      </c>
      <c r="C482" s="1" t="s">
        <v>592</v>
      </c>
      <c r="D482" s="1" t="s">
        <v>14</v>
      </c>
      <c r="E482" s="1" t="s">
        <v>15</v>
      </c>
      <c r="F482" s="1" t="s">
        <v>330</v>
      </c>
      <c r="G482" s="1" t="s">
        <v>90</v>
      </c>
    </row>
    <row r="483" spans="1:7" x14ac:dyDescent="0.25">
      <c r="A483" s="1" t="s">
        <v>141</v>
      </c>
      <c r="B483" s="1" t="s">
        <v>91</v>
      </c>
      <c r="C483" s="1" t="s">
        <v>307</v>
      </c>
      <c r="D483" s="1" t="s">
        <v>14</v>
      </c>
      <c r="E483" s="1" t="s">
        <v>15</v>
      </c>
      <c r="F483" s="1" t="s">
        <v>330</v>
      </c>
      <c r="G483" s="1" t="s">
        <v>90</v>
      </c>
    </row>
    <row r="484" spans="1:7" x14ac:dyDescent="0.25">
      <c r="A484" s="1" t="s">
        <v>658</v>
      </c>
      <c r="B484" s="1" t="s">
        <v>422</v>
      </c>
      <c r="C484" s="1" t="s">
        <v>190</v>
      </c>
      <c r="D484" s="1" t="s">
        <v>14</v>
      </c>
      <c r="E484" s="1" t="s">
        <v>15</v>
      </c>
      <c r="F484" s="1" t="s">
        <v>423</v>
      </c>
      <c r="G484" s="1"/>
    </row>
    <row r="485" spans="1:7" x14ac:dyDescent="0.25">
      <c r="A485" s="1" t="s">
        <v>659</v>
      </c>
      <c r="B485" s="1" t="s">
        <v>409</v>
      </c>
      <c r="C485" s="1" t="s">
        <v>605</v>
      </c>
      <c r="D485" s="1" t="s">
        <v>14</v>
      </c>
      <c r="E485" s="1" t="s">
        <v>15</v>
      </c>
      <c r="F485" s="1" t="s">
        <v>410</v>
      </c>
      <c r="G485" s="1"/>
    </row>
    <row r="486" spans="1:7" x14ac:dyDescent="0.25">
      <c r="A486" s="1" t="s">
        <v>660</v>
      </c>
      <c r="B486" s="1" t="s">
        <v>417</v>
      </c>
      <c r="C486" s="1" t="s">
        <v>21</v>
      </c>
      <c r="D486" s="1" t="s">
        <v>14</v>
      </c>
      <c r="E486" s="1" t="s">
        <v>15</v>
      </c>
      <c r="F486" s="1" t="s">
        <v>254</v>
      </c>
      <c r="G486" s="1" t="s">
        <v>260</v>
      </c>
    </row>
    <row r="487" spans="1:7" x14ac:dyDescent="0.25">
      <c r="A487" s="1" t="s">
        <v>661</v>
      </c>
      <c r="B487" s="1" t="s">
        <v>417</v>
      </c>
      <c r="C487" s="1" t="s">
        <v>235</v>
      </c>
      <c r="D487" s="1" t="s">
        <v>14</v>
      </c>
      <c r="E487" s="1" t="s">
        <v>15</v>
      </c>
      <c r="F487" s="1" t="s">
        <v>254</v>
      </c>
      <c r="G487" s="1" t="s">
        <v>260</v>
      </c>
    </row>
    <row r="488" spans="1:7" x14ac:dyDescent="0.25">
      <c r="A488" s="1" t="s">
        <v>662</v>
      </c>
      <c r="B488" s="1" t="s">
        <v>417</v>
      </c>
      <c r="C488" s="1" t="s">
        <v>235</v>
      </c>
      <c r="D488" s="1" t="s">
        <v>14</v>
      </c>
      <c r="E488" s="1" t="s">
        <v>15</v>
      </c>
      <c r="F488" s="1" t="s">
        <v>254</v>
      </c>
      <c r="G488" s="1" t="s">
        <v>260</v>
      </c>
    </row>
    <row r="489" spans="1:7" x14ac:dyDescent="0.25">
      <c r="A489" s="1" t="s">
        <v>662</v>
      </c>
      <c r="B489" s="1" t="s">
        <v>239</v>
      </c>
      <c r="C489" s="1" t="s">
        <v>235</v>
      </c>
      <c r="D489" s="1" t="s">
        <v>14</v>
      </c>
      <c r="E489" s="1" t="s">
        <v>15</v>
      </c>
      <c r="F489" s="1" t="s">
        <v>240</v>
      </c>
      <c r="G489" s="1" t="s">
        <v>241</v>
      </c>
    </row>
    <row r="490" spans="1:7" x14ac:dyDescent="0.25">
      <c r="A490" s="1" t="s">
        <v>663</v>
      </c>
      <c r="B490" s="1" t="s">
        <v>417</v>
      </c>
      <c r="C490" s="1" t="s">
        <v>237</v>
      </c>
      <c r="D490" s="1" t="s">
        <v>14</v>
      </c>
      <c r="E490" s="1" t="s">
        <v>15</v>
      </c>
      <c r="F490" s="1" t="s">
        <v>254</v>
      </c>
      <c r="G490" s="1" t="s">
        <v>260</v>
      </c>
    </row>
    <row r="491" spans="1:7" x14ac:dyDescent="0.25">
      <c r="A491" s="1" t="s">
        <v>663</v>
      </c>
      <c r="B491" s="1" t="s">
        <v>239</v>
      </c>
      <c r="C491" s="1" t="s">
        <v>237</v>
      </c>
      <c r="D491" s="1" t="s">
        <v>14</v>
      </c>
      <c r="E491" s="1" t="s">
        <v>15</v>
      </c>
      <c r="F491" s="1" t="s">
        <v>240</v>
      </c>
      <c r="G491" s="1" t="s">
        <v>241</v>
      </c>
    </row>
    <row r="492" spans="1:7" x14ac:dyDescent="0.25">
      <c r="A492" s="1" t="s">
        <v>664</v>
      </c>
      <c r="B492" s="1" t="s">
        <v>417</v>
      </c>
      <c r="C492" s="1" t="s">
        <v>237</v>
      </c>
      <c r="D492" s="1" t="s">
        <v>14</v>
      </c>
      <c r="E492" s="1" t="s">
        <v>15</v>
      </c>
      <c r="F492" s="1" t="s">
        <v>254</v>
      </c>
      <c r="G492" s="1" t="s">
        <v>260</v>
      </c>
    </row>
    <row r="493" spans="1:7" x14ac:dyDescent="0.25">
      <c r="A493" s="1" t="s">
        <v>664</v>
      </c>
      <c r="B493" s="1" t="s">
        <v>239</v>
      </c>
      <c r="C493" s="1" t="s">
        <v>237</v>
      </c>
      <c r="D493" s="1" t="s">
        <v>14</v>
      </c>
      <c r="E493" s="1" t="s">
        <v>15</v>
      </c>
      <c r="F493" s="1" t="s">
        <v>240</v>
      </c>
      <c r="G493" s="1" t="s">
        <v>241</v>
      </c>
    </row>
    <row r="494" spans="1:7" x14ac:dyDescent="0.25">
      <c r="A494" s="1" t="s">
        <v>665</v>
      </c>
      <c r="B494" s="1" t="s">
        <v>417</v>
      </c>
      <c r="C494" s="1" t="s">
        <v>237</v>
      </c>
      <c r="D494" s="1" t="s">
        <v>14</v>
      </c>
      <c r="E494" s="1" t="s">
        <v>15</v>
      </c>
      <c r="F494" s="1" t="s">
        <v>254</v>
      </c>
      <c r="G494" s="1" t="s">
        <v>260</v>
      </c>
    </row>
    <row r="495" spans="1:7" x14ac:dyDescent="0.25">
      <c r="A495" s="1" t="s">
        <v>666</v>
      </c>
      <c r="B495" s="1" t="s">
        <v>417</v>
      </c>
      <c r="C495" s="1" t="s">
        <v>237</v>
      </c>
      <c r="D495" s="1" t="s">
        <v>14</v>
      </c>
      <c r="E495" s="1" t="s">
        <v>15</v>
      </c>
      <c r="F495" s="1" t="s">
        <v>254</v>
      </c>
      <c r="G495" s="1" t="s">
        <v>260</v>
      </c>
    </row>
    <row r="496" spans="1:7" x14ac:dyDescent="0.25">
      <c r="A496" s="1" t="s">
        <v>666</v>
      </c>
      <c r="B496" s="1" t="s">
        <v>239</v>
      </c>
      <c r="C496" s="1" t="s">
        <v>237</v>
      </c>
      <c r="D496" s="1" t="s">
        <v>14</v>
      </c>
      <c r="E496" s="1" t="s">
        <v>15</v>
      </c>
      <c r="F496" s="1" t="s">
        <v>240</v>
      </c>
      <c r="G496" s="1" t="s">
        <v>241</v>
      </c>
    </row>
    <row r="497" spans="1:7" x14ac:dyDescent="0.25">
      <c r="A497" s="1" t="s">
        <v>667</v>
      </c>
      <c r="B497" s="1" t="s">
        <v>417</v>
      </c>
      <c r="C497" s="1" t="s">
        <v>237</v>
      </c>
      <c r="D497" s="1" t="s">
        <v>14</v>
      </c>
      <c r="E497" s="1" t="s">
        <v>15</v>
      </c>
      <c r="F497" s="1" t="s">
        <v>254</v>
      </c>
      <c r="G497" s="1" t="s">
        <v>260</v>
      </c>
    </row>
    <row r="498" spans="1:7" x14ac:dyDescent="0.25">
      <c r="A498" s="1" t="s">
        <v>668</v>
      </c>
      <c r="B498" s="1" t="s">
        <v>417</v>
      </c>
      <c r="C498" s="1" t="s">
        <v>21</v>
      </c>
      <c r="D498" s="1" t="s">
        <v>14</v>
      </c>
      <c r="E498" s="1" t="s">
        <v>15</v>
      </c>
      <c r="F498" s="1" t="s">
        <v>254</v>
      </c>
      <c r="G498" s="1" t="s">
        <v>260</v>
      </c>
    </row>
    <row r="499" spans="1:7" x14ac:dyDescent="0.25">
      <c r="A499" s="1" t="s">
        <v>669</v>
      </c>
      <c r="B499" s="1" t="s">
        <v>417</v>
      </c>
      <c r="C499" s="1" t="s">
        <v>237</v>
      </c>
      <c r="D499" s="1" t="s">
        <v>14</v>
      </c>
      <c r="E499" s="1" t="s">
        <v>15</v>
      </c>
      <c r="F499" s="1" t="s">
        <v>254</v>
      </c>
      <c r="G499" s="1" t="s">
        <v>260</v>
      </c>
    </row>
    <row r="500" spans="1:7" x14ac:dyDescent="0.25">
      <c r="A500" s="1" t="s">
        <v>670</v>
      </c>
      <c r="B500" s="1" t="s">
        <v>417</v>
      </c>
      <c r="C500" s="1" t="s">
        <v>165</v>
      </c>
      <c r="D500" s="1" t="s">
        <v>14</v>
      </c>
      <c r="E500" s="1" t="s">
        <v>15</v>
      </c>
      <c r="F500" s="1" t="s">
        <v>254</v>
      </c>
      <c r="G500" s="1" t="s">
        <v>260</v>
      </c>
    </row>
    <row r="501" spans="1:7" x14ac:dyDescent="0.25">
      <c r="A501" s="1" t="s">
        <v>671</v>
      </c>
      <c r="B501" s="1" t="s">
        <v>239</v>
      </c>
      <c r="C501" s="1" t="s">
        <v>308</v>
      </c>
      <c r="D501" s="1" t="s">
        <v>14</v>
      </c>
      <c r="E501" s="1" t="s">
        <v>15</v>
      </c>
      <c r="F501" s="1" t="s">
        <v>240</v>
      </c>
      <c r="G501" s="1" t="s">
        <v>241</v>
      </c>
    </row>
    <row r="502" spans="1:7" x14ac:dyDescent="0.25">
      <c r="A502" s="1" t="s">
        <v>672</v>
      </c>
      <c r="B502" s="1" t="s">
        <v>417</v>
      </c>
      <c r="C502" s="1" t="s">
        <v>237</v>
      </c>
      <c r="D502" s="1" t="s">
        <v>14</v>
      </c>
      <c r="E502" s="1" t="s">
        <v>15</v>
      </c>
      <c r="F502" s="1" t="s">
        <v>254</v>
      </c>
      <c r="G502" s="1" t="s">
        <v>260</v>
      </c>
    </row>
    <row r="503" spans="1:7" x14ac:dyDescent="0.25">
      <c r="A503" s="1" t="s">
        <v>672</v>
      </c>
      <c r="B503" s="1" t="s">
        <v>239</v>
      </c>
      <c r="C503" s="1" t="s">
        <v>237</v>
      </c>
      <c r="D503" s="1" t="s">
        <v>14</v>
      </c>
      <c r="E503" s="1" t="s">
        <v>15</v>
      </c>
      <c r="F503" s="1" t="s">
        <v>240</v>
      </c>
      <c r="G503" s="1" t="s">
        <v>241</v>
      </c>
    </row>
    <row r="504" spans="1:7" x14ac:dyDescent="0.25">
      <c r="A504" s="1" t="s">
        <v>673</v>
      </c>
      <c r="B504" s="1" t="s">
        <v>674</v>
      </c>
      <c r="C504" s="1" t="s">
        <v>201</v>
      </c>
      <c r="D504" s="1" t="s">
        <v>14</v>
      </c>
      <c r="E504" s="1" t="s">
        <v>15</v>
      </c>
      <c r="F504" s="1" t="s">
        <v>675</v>
      </c>
      <c r="G504" s="1"/>
    </row>
    <row r="505" spans="1:7" x14ac:dyDescent="0.25">
      <c r="A505" s="1" t="s">
        <v>676</v>
      </c>
      <c r="B505" s="1" t="s">
        <v>417</v>
      </c>
      <c r="C505" s="1" t="s">
        <v>165</v>
      </c>
      <c r="D505" s="1" t="s">
        <v>14</v>
      </c>
      <c r="E505" s="1" t="s">
        <v>15</v>
      </c>
      <c r="F505" s="1" t="s">
        <v>254</v>
      </c>
      <c r="G505" s="1" t="s">
        <v>260</v>
      </c>
    </row>
    <row r="506" spans="1:7" x14ac:dyDescent="0.25">
      <c r="A506" s="1" t="s">
        <v>677</v>
      </c>
      <c r="B506" s="1" t="s">
        <v>417</v>
      </c>
      <c r="C506" s="1" t="s">
        <v>605</v>
      </c>
      <c r="D506" s="1" t="s">
        <v>14</v>
      </c>
      <c r="E506" s="1" t="s">
        <v>15</v>
      </c>
      <c r="F506" s="1" t="s">
        <v>254</v>
      </c>
      <c r="G506" s="1" t="s">
        <v>260</v>
      </c>
    </row>
    <row r="507" spans="1:7" x14ac:dyDescent="0.25">
      <c r="A507" s="1" t="s">
        <v>677</v>
      </c>
      <c r="B507" s="1" t="s">
        <v>239</v>
      </c>
      <c r="C507" s="1" t="s">
        <v>605</v>
      </c>
      <c r="D507" s="1" t="s">
        <v>14</v>
      </c>
      <c r="E507" s="1" t="s">
        <v>15</v>
      </c>
      <c r="F507" s="1" t="s">
        <v>240</v>
      </c>
      <c r="G507" s="1" t="s">
        <v>241</v>
      </c>
    </row>
    <row r="508" spans="1:7" x14ac:dyDescent="0.25">
      <c r="A508" s="1" t="s">
        <v>143</v>
      </c>
      <c r="B508" s="1" t="s">
        <v>301</v>
      </c>
      <c r="C508" s="1" t="s">
        <v>237</v>
      </c>
      <c r="D508" s="1" t="s">
        <v>14</v>
      </c>
      <c r="E508" s="1" t="s">
        <v>15</v>
      </c>
      <c r="F508" s="1" t="s">
        <v>302</v>
      </c>
      <c r="G508" s="1" t="s">
        <v>303</v>
      </c>
    </row>
    <row r="509" spans="1:7" x14ac:dyDescent="0.25">
      <c r="A509" s="1" t="s">
        <v>142</v>
      </c>
      <c r="B509" s="1" t="s">
        <v>91</v>
      </c>
      <c r="C509" s="1" t="s">
        <v>237</v>
      </c>
      <c r="D509" s="1" t="s">
        <v>14</v>
      </c>
      <c r="E509" s="1" t="s">
        <v>15</v>
      </c>
      <c r="F509" s="1" t="s">
        <v>330</v>
      </c>
      <c r="G509" s="1" t="s">
        <v>90</v>
      </c>
    </row>
    <row r="510" spans="1:7" x14ac:dyDescent="0.25">
      <c r="A510" s="1" t="s">
        <v>144</v>
      </c>
      <c r="B510" s="1" t="s">
        <v>91</v>
      </c>
      <c r="C510" s="1" t="s">
        <v>19</v>
      </c>
      <c r="D510" s="1" t="s">
        <v>14</v>
      </c>
      <c r="E510" s="1" t="s">
        <v>15</v>
      </c>
      <c r="F510" s="1" t="s">
        <v>330</v>
      </c>
      <c r="G510" s="1" t="s">
        <v>90</v>
      </c>
    </row>
    <row r="511" spans="1:7" x14ac:dyDescent="0.25">
      <c r="A511" s="1" t="s">
        <v>145</v>
      </c>
      <c r="B511" s="1" t="s">
        <v>91</v>
      </c>
      <c r="C511" s="1" t="s">
        <v>19</v>
      </c>
      <c r="D511" s="1" t="s">
        <v>14</v>
      </c>
      <c r="E511" s="1" t="s">
        <v>15</v>
      </c>
      <c r="F511" s="1" t="s">
        <v>330</v>
      </c>
      <c r="G511" s="1" t="s">
        <v>90</v>
      </c>
    </row>
    <row r="512" spans="1:7" x14ac:dyDescent="0.25">
      <c r="A512" s="1" t="s">
        <v>146</v>
      </c>
      <c r="B512" s="1" t="s">
        <v>91</v>
      </c>
      <c r="C512" s="1" t="s">
        <v>19</v>
      </c>
      <c r="D512" s="1" t="s">
        <v>14</v>
      </c>
      <c r="E512" s="1" t="s">
        <v>15</v>
      </c>
      <c r="F512" s="1" t="s">
        <v>330</v>
      </c>
      <c r="G512" s="1" t="s">
        <v>90</v>
      </c>
    </row>
    <row r="513" spans="1:7" x14ac:dyDescent="0.25">
      <c r="A513" s="1" t="s">
        <v>147</v>
      </c>
      <c r="B513" s="1" t="s">
        <v>91</v>
      </c>
      <c r="C513" s="1" t="s">
        <v>237</v>
      </c>
      <c r="D513" s="1" t="s">
        <v>14</v>
      </c>
      <c r="E513" s="1" t="s">
        <v>15</v>
      </c>
      <c r="F513" s="1" t="s">
        <v>330</v>
      </c>
      <c r="G513" s="1" t="s">
        <v>90</v>
      </c>
    </row>
    <row r="514" spans="1:7" x14ac:dyDescent="0.25">
      <c r="A514" s="1" t="s">
        <v>148</v>
      </c>
      <c r="B514" s="1" t="s">
        <v>91</v>
      </c>
      <c r="C514" s="1" t="s">
        <v>19</v>
      </c>
      <c r="D514" s="1" t="s">
        <v>14</v>
      </c>
      <c r="E514" s="1" t="s">
        <v>15</v>
      </c>
      <c r="F514" s="1" t="s">
        <v>330</v>
      </c>
      <c r="G514" s="1" t="s">
        <v>90</v>
      </c>
    </row>
    <row r="515" spans="1:7" x14ac:dyDescent="0.25">
      <c r="A515" s="1" t="s">
        <v>678</v>
      </c>
      <c r="B515" s="1" t="s">
        <v>417</v>
      </c>
      <c r="C515" s="1" t="s">
        <v>235</v>
      </c>
      <c r="D515" s="1" t="s">
        <v>14</v>
      </c>
      <c r="E515" s="1" t="s">
        <v>15</v>
      </c>
      <c r="F515" s="1" t="s">
        <v>254</v>
      </c>
      <c r="G515" s="1" t="s">
        <v>260</v>
      </c>
    </row>
    <row r="516" spans="1:7" x14ac:dyDescent="0.25">
      <c r="A516" s="1" t="s">
        <v>678</v>
      </c>
      <c r="B516" s="1" t="s">
        <v>239</v>
      </c>
      <c r="C516" s="1" t="s">
        <v>235</v>
      </c>
      <c r="D516" s="1" t="s">
        <v>14</v>
      </c>
      <c r="E516" s="1" t="s">
        <v>15</v>
      </c>
      <c r="F516" s="1" t="s">
        <v>240</v>
      </c>
      <c r="G516" s="1" t="s">
        <v>241</v>
      </c>
    </row>
    <row r="517" spans="1:7" x14ac:dyDescent="0.25">
      <c r="A517" s="1" t="s">
        <v>679</v>
      </c>
      <c r="B517" s="1" t="s">
        <v>417</v>
      </c>
      <c r="C517" s="1" t="s">
        <v>235</v>
      </c>
      <c r="D517" s="1" t="s">
        <v>14</v>
      </c>
      <c r="E517" s="1" t="s">
        <v>15</v>
      </c>
      <c r="F517" s="1" t="s">
        <v>254</v>
      </c>
      <c r="G517" s="1" t="s">
        <v>260</v>
      </c>
    </row>
    <row r="518" spans="1:7" x14ac:dyDescent="0.25">
      <c r="A518" s="1" t="s">
        <v>679</v>
      </c>
      <c r="B518" s="1" t="s">
        <v>239</v>
      </c>
      <c r="C518" s="1" t="s">
        <v>235</v>
      </c>
      <c r="D518" s="1" t="s">
        <v>14</v>
      </c>
      <c r="E518" s="1" t="s">
        <v>15</v>
      </c>
      <c r="F518" s="1" t="s">
        <v>240</v>
      </c>
      <c r="G518" s="1" t="s">
        <v>241</v>
      </c>
    </row>
    <row r="519" spans="1:7" x14ac:dyDescent="0.25">
      <c r="A519" s="1" t="s">
        <v>680</v>
      </c>
      <c r="B519" s="1" t="s">
        <v>417</v>
      </c>
      <c r="C519" s="1" t="s">
        <v>235</v>
      </c>
      <c r="D519" s="1" t="s">
        <v>14</v>
      </c>
      <c r="E519" s="1" t="s">
        <v>15</v>
      </c>
      <c r="F519" s="1" t="s">
        <v>254</v>
      </c>
      <c r="G519" s="1" t="s">
        <v>260</v>
      </c>
    </row>
    <row r="520" spans="1:7" x14ac:dyDescent="0.25">
      <c r="A520" s="1" t="s">
        <v>680</v>
      </c>
      <c r="B520" s="1" t="s">
        <v>239</v>
      </c>
      <c r="C520" s="1" t="s">
        <v>235</v>
      </c>
      <c r="D520" s="1" t="s">
        <v>14</v>
      </c>
      <c r="E520" s="1" t="s">
        <v>15</v>
      </c>
      <c r="F520" s="1" t="s">
        <v>240</v>
      </c>
      <c r="G520" s="1" t="s">
        <v>241</v>
      </c>
    </row>
    <row r="521" spans="1:7" x14ac:dyDescent="0.25">
      <c r="A521" s="1" t="s">
        <v>681</v>
      </c>
      <c r="B521" s="1" t="s">
        <v>253</v>
      </c>
      <c r="C521" s="1" t="s">
        <v>190</v>
      </c>
      <c r="D521" s="1" t="s">
        <v>14</v>
      </c>
      <c r="E521" s="1" t="s">
        <v>15</v>
      </c>
      <c r="F521" s="1" t="s">
        <v>254</v>
      </c>
      <c r="G521" s="1" t="s">
        <v>255</v>
      </c>
    </row>
    <row r="522" spans="1:7" x14ac:dyDescent="0.25">
      <c r="A522" s="1" t="s">
        <v>681</v>
      </c>
      <c r="B522" s="1" t="s">
        <v>239</v>
      </c>
      <c r="C522" s="1" t="s">
        <v>190</v>
      </c>
      <c r="D522" s="1" t="s">
        <v>14</v>
      </c>
      <c r="E522" s="1" t="s">
        <v>15</v>
      </c>
      <c r="F522" s="1" t="s">
        <v>240</v>
      </c>
      <c r="G522" s="1" t="s">
        <v>241</v>
      </c>
    </row>
    <row r="523" spans="1:7" x14ac:dyDescent="0.25">
      <c r="A523" s="1" t="s">
        <v>682</v>
      </c>
      <c r="B523" s="1" t="s">
        <v>253</v>
      </c>
      <c r="C523" s="1" t="s">
        <v>165</v>
      </c>
      <c r="D523" s="1" t="s">
        <v>14</v>
      </c>
      <c r="E523" s="1" t="s">
        <v>15</v>
      </c>
      <c r="F523" s="1" t="s">
        <v>254</v>
      </c>
      <c r="G523" s="1" t="s">
        <v>255</v>
      </c>
    </row>
    <row r="524" spans="1:7" x14ac:dyDescent="0.25">
      <c r="A524" s="1" t="s">
        <v>683</v>
      </c>
      <c r="B524" s="1" t="s">
        <v>253</v>
      </c>
      <c r="C524" s="1" t="s">
        <v>165</v>
      </c>
      <c r="D524" s="1" t="s">
        <v>14</v>
      </c>
      <c r="E524" s="1" t="s">
        <v>15</v>
      </c>
      <c r="F524" s="1" t="s">
        <v>254</v>
      </c>
      <c r="G524" s="1" t="s">
        <v>255</v>
      </c>
    </row>
    <row r="525" spans="1:7" x14ac:dyDescent="0.25">
      <c r="A525" s="1" t="s">
        <v>684</v>
      </c>
      <c r="B525" s="1" t="s">
        <v>417</v>
      </c>
      <c r="C525" s="1" t="s">
        <v>235</v>
      </c>
      <c r="D525" s="1" t="s">
        <v>14</v>
      </c>
      <c r="E525" s="1" t="s">
        <v>15</v>
      </c>
      <c r="F525" s="1" t="s">
        <v>254</v>
      </c>
      <c r="G525" s="1" t="s">
        <v>260</v>
      </c>
    </row>
    <row r="526" spans="1:7" x14ac:dyDescent="0.25">
      <c r="A526" s="1" t="s">
        <v>684</v>
      </c>
      <c r="B526" s="1" t="s">
        <v>239</v>
      </c>
      <c r="C526" s="1" t="s">
        <v>235</v>
      </c>
      <c r="D526" s="1" t="s">
        <v>14</v>
      </c>
      <c r="E526" s="1" t="s">
        <v>15</v>
      </c>
      <c r="F526" s="1" t="s">
        <v>240</v>
      </c>
      <c r="G526" s="1" t="s">
        <v>241</v>
      </c>
    </row>
    <row r="527" spans="1:7" x14ac:dyDescent="0.25">
      <c r="A527" s="1" t="s">
        <v>685</v>
      </c>
      <c r="B527" s="1" t="s">
        <v>417</v>
      </c>
      <c r="C527" s="1" t="s">
        <v>235</v>
      </c>
      <c r="D527" s="1" t="s">
        <v>14</v>
      </c>
      <c r="E527" s="1" t="s">
        <v>15</v>
      </c>
      <c r="F527" s="1" t="s">
        <v>254</v>
      </c>
      <c r="G527" s="1" t="s">
        <v>260</v>
      </c>
    </row>
    <row r="528" spans="1:7" x14ac:dyDescent="0.25">
      <c r="A528" s="1" t="s">
        <v>685</v>
      </c>
      <c r="B528" s="1" t="s">
        <v>239</v>
      </c>
      <c r="C528" s="1" t="s">
        <v>235</v>
      </c>
      <c r="D528" s="1" t="s">
        <v>14</v>
      </c>
      <c r="E528" s="1" t="s">
        <v>15</v>
      </c>
      <c r="F528" s="1" t="s">
        <v>240</v>
      </c>
      <c r="G528" s="1" t="s">
        <v>241</v>
      </c>
    </row>
    <row r="529" spans="1:7" x14ac:dyDescent="0.25">
      <c r="A529" s="1" t="s">
        <v>686</v>
      </c>
      <c r="B529" s="1" t="s">
        <v>253</v>
      </c>
      <c r="C529" s="1" t="s">
        <v>235</v>
      </c>
      <c r="D529" s="1" t="s">
        <v>14</v>
      </c>
      <c r="E529" s="1" t="s">
        <v>15</v>
      </c>
      <c r="F529" s="1" t="s">
        <v>254</v>
      </c>
      <c r="G529" s="1" t="s">
        <v>255</v>
      </c>
    </row>
    <row r="530" spans="1:7" x14ac:dyDescent="0.25">
      <c r="A530" s="1" t="s">
        <v>687</v>
      </c>
      <c r="B530" s="1" t="s">
        <v>417</v>
      </c>
      <c r="C530" s="1" t="s">
        <v>235</v>
      </c>
      <c r="D530" s="1" t="s">
        <v>14</v>
      </c>
      <c r="E530" s="1" t="s">
        <v>15</v>
      </c>
      <c r="F530" s="1" t="s">
        <v>254</v>
      </c>
      <c r="G530" s="1" t="s">
        <v>260</v>
      </c>
    </row>
    <row r="531" spans="1:7" x14ac:dyDescent="0.25">
      <c r="A531" s="1" t="s">
        <v>687</v>
      </c>
      <c r="B531" s="1" t="s">
        <v>239</v>
      </c>
      <c r="C531" s="1" t="s">
        <v>235</v>
      </c>
      <c r="D531" s="1" t="s">
        <v>14</v>
      </c>
      <c r="E531" s="1" t="s">
        <v>15</v>
      </c>
      <c r="F531" s="1" t="s">
        <v>240</v>
      </c>
      <c r="G531" s="1" t="s">
        <v>241</v>
      </c>
    </row>
    <row r="532" spans="1:7" x14ac:dyDescent="0.25">
      <c r="A532" s="1" t="s">
        <v>688</v>
      </c>
      <c r="B532" s="1" t="s">
        <v>417</v>
      </c>
      <c r="C532" s="1" t="s">
        <v>598</v>
      </c>
      <c r="D532" s="1" t="s">
        <v>14</v>
      </c>
      <c r="E532" s="1" t="s">
        <v>15</v>
      </c>
      <c r="F532" s="1" t="s">
        <v>254</v>
      </c>
      <c r="G532" s="1" t="s">
        <v>260</v>
      </c>
    </row>
    <row r="533" spans="1:7" x14ac:dyDescent="0.25">
      <c r="A533" s="1" t="s">
        <v>688</v>
      </c>
      <c r="B533" s="1" t="s">
        <v>239</v>
      </c>
      <c r="C533" s="1" t="s">
        <v>598</v>
      </c>
      <c r="D533" s="1" t="s">
        <v>14</v>
      </c>
      <c r="E533" s="1" t="s">
        <v>15</v>
      </c>
      <c r="F533" s="1" t="s">
        <v>240</v>
      </c>
      <c r="G533" s="1" t="s">
        <v>241</v>
      </c>
    </row>
    <row r="534" spans="1:7" x14ac:dyDescent="0.25">
      <c r="A534" s="1" t="s">
        <v>689</v>
      </c>
      <c r="B534" s="1" t="s">
        <v>417</v>
      </c>
      <c r="C534" s="1" t="s">
        <v>237</v>
      </c>
      <c r="D534" s="1" t="s">
        <v>14</v>
      </c>
      <c r="E534" s="1" t="s">
        <v>15</v>
      </c>
      <c r="F534" s="1" t="s">
        <v>254</v>
      </c>
      <c r="G534" s="1" t="s">
        <v>260</v>
      </c>
    </row>
    <row r="535" spans="1:7" x14ac:dyDescent="0.25">
      <c r="A535" s="1" t="s">
        <v>690</v>
      </c>
      <c r="B535" s="1" t="s">
        <v>417</v>
      </c>
      <c r="C535" s="1" t="s">
        <v>21</v>
      </c>
      <c r="D535" s="1" t="s">
        <v>14</v>
      </c>
      <c r="E535" s="1" t="s">
        <v>15</v>
      </c>
      <c r="F535" s="1" t="s">
        <v>254</v>
      </c>
      <c r="G535" s="1" t="s">
        <v>260</v>
      </c>
    </row>
    <row r="536" spans="1:7" x14ac:dyDescent="0.25">
      <c r="A536" s="1" t="s">
        <v>690</v>
      </c>
      <c r="B536" s="1" t="s">
        <v>239</v>
      </c>
      <c r="C536" s="1" t="s">
        <v>21</v>
      </c>
      <c r="D536" s="1" t="s">
        <v>14</v>
      </c>
      <c r="E536" s="1" t="s">
        <v>15</v>
      </c>
      <c r="F536" s="1" t="s">
        <v>240</v>
      </c>
      <c r="G536" s="1" t="s">
        <v>241</v>
      </c>
    </row>
    <row r="537" spans="1:7" x14ac:dyDescent="0.25">
      <c r="A537" s="1" t="s">
        <v>691</v>
      </c>
      <c r="B537" s="1" t="s">
        <v>417</v>
      </c>
      <c r="C537" s="1" t="s">
        <v>235</v>
      </c>
      <c r="D537" s="1" t="s">
        <v>14</v>
      </c>
      <c r="E537" s="1" t="s">
        <v>15</v>
      </c>
      <c r="F537" s="1" t="s">
        <v>254</v>
      </c>
      <c r="G537" s="1" t="s">
        <v>260</v>
      </c>
    </row>
    <row r="538" spans="1:7" x14ac:dyDescent="0.25">
      <c r="A538" s="1" t="s">
        <v>692</v>
      </c>
      <c r="B538" s="1" t="s">
        <v>417</v>
      </c>
      <c r="C538" s="1" t="s">
        <v>165</v>
      </c>
      <c r="D538" s="1" t="s">
        <v>14</v>
      </c>
      <c r="E538" s="1" t="s">
        <v>15</v>
      </c>
      <c r="F538" s="1" t="s">
        <v>254</v>
      </c>
      <c r="G538" s="1" t="s">
        <v>260</v>
      </c>
    </row>
    <row r="539" spans="1:7" x14ac:dyDescent="0.25">
      <c r="A539" s="1" t="s">
        <v>693</v>
      </c>
      <c r="B539" s="1" t="s">
        <v>417</v>
      </c>
      <c r="C539" s="1" t="s">
        <v>579</v>
      </c>
      <c r="D539" s="1" t="s">
        <v>14</v>
      </c>
      <c r="E539" s="1" t="s">
        <v>15</v>
      </c>
      <c r="F539" s="1" t="s">
        <v>254</v>
      </c>
      <c r="G539" s="1" t="s">
        <v>260</v>
      </c>
    </row>
    <row r="540" spans="1:7" x14ac:dyDescent="0.25">
      <c r="A540" s="1" t="s">
        <v>693</v>
      </c>
      <c r="B540" s="1" t="s">
        <v>239</v>
      </c>
      <c r="C540" s="1" t="s">
        <v>579</v>
      </c>
      <c r="D540" s="1" t="s">
        <v>14</v>
      </c>
      <c r="E540" s="1" t="s">
        <v>15</v>
      </c>
      <c r="F540" s="1" t="s">
        <v>240</v>
      </c>
      <c r="G540" s="1" t="s">
        <v>241</v>
      </c>
    </row>
    <row r="541" spans="1:7" x14ac:dyDescent="0.25">
      <c r="A541" s="1" t="s">
        <v>694</v>
      </c>
      <c r="B541" s="1" t="s">
        <v>417</v>
      </c>
      <c r="C541" s="1" t="s">
        <v>579</v>
      </c>
      <c r="D541" s="1" t="s">
        <v>14</v>
      </c>
      <c r="E541" s="1" t="s">
        <v>15</v>
      </c>
      <c r="F541" s="1" t="s">
        <v>254</v>
      </c>
      <c r="G541" s="1" t="s">
        <v>260</v>
      </c>
    </row>
    <row r="542" spans="1:7" x14ac:dyDescent="0.25">
      <c r="A542" s="1" t="s">
        <v>695</v>
      </c>
      <c r="B542" s="1" t="s">
        <v>253</v>
      </c>
      <c r="C542" s="1" t="s">
        <v>237</v>
      </c>
      <c r="D542" s="1" t="s">
        <v>14</v>
      </c>
      <c r="E542" s="1" t="s">
        <v>15</v>
      </c>
      <c r="F542" s="1" t="s">
        <v>254</v>
      </c>
      <c r="G542" s="1" t="s">
        <v>255</v>
      </c>
    </row>
    <row r="543" spans="1:7" x14ac:dyDescent="0.25">
      <c r="A543" s="1" t="s">
        <v>696</v>
      </c>
      <c r="B543" s="1" t="s">
        <v>253</v>
      </c>
      <c r="C543" s="1" t="s">
        <v>605</v>
      </c>
      <c r="D543" s="1" t="s">
        <v>14</v>
      </c>
      <c r="E543" s="1" t="s">
        <v>15</v>
      </c>
      <c r="F543" s="1" t="s">
        <v>254</v>
      </c>
      <c r="G543" s="1" t="s">
        <v>255</v>
      </c>
    </row>
    <row r="544" spans="1:7" x14ac:dyDescent="0.25">
      <c r="A544" s="1" t="s">
        <v>697</v>
      </c>
      <c r="B544" s="1" t="s">
        <v>253</v>
      </c>
      <c r="C544" s="1" t="s">
        <v>557</v>
      </c>
      <c r="D544" s="1" t="s">
        <v>14</v>
      </c>
      <c r="E544" s="1" t="s">
        <v>15</v>
      </c>
      <c r="F544" s="1" t="s">
        <v>254</v>
      </c>
      <c r="G544" s="1" t="s">
        <v>255</v>
      </c>
    </row>
    <row r="545" spans="1:7" x14ac:dyDescent="0.25">
      <c r="A545" s="1" t="s">
        <v>698</v>
      </c>
      <c r="B545" s="1" t="s">
        <v>437</v>
      </c>
      <c r="C545" s="1" t="s">
        <v>165</v>
      </c>
      <c r="D545" s="1" t="s">
        <v>14</v>
      </c>
      <c r="E545" s="1" t="s">
        <v>15</v>
      </c>
      <c r="F545" s="1" t="s">
        <v>438</v>
      </c>
      <c r="G545" s="1"/>
    </row>
    <row r="546" spans="1:7" x14ac:dyDescent="0.25">
      <c r="A546" s="1" t="s">
        <v>699</v>
      </c>
      <c r="B546" s="1" t="s">
        <v>253</v>
      </c>
      <c r="C546" s="1" t="s">
        <v>237</v>
      </c>
      <c r="D546" s="1" t="s">
        <v>14</v>
      </c>
      <c r="E546" s="1" t="s">
        <v>15</v>
      </c>
      <c r="F546" s="1" t="s">
        <v>254</v>
      </c>
      <c r="G546" s="1" t="s">
        <v>255</v>
      </c>
    </row>
    <row r="547" spans="1:7" x14ac:dyDescent="0.25">
      <c r="A547" s="1" t="s">
        <v>699</v>
      </c>
      <c r="B547" s="1" t="s">
        <v>239</v>
      </c>
      <c r="C547" s="1" t="s">
        <v>237</v>
      </c>
      <c r="D547" s="1" t="s">
        <v>14</v>
      </c>
      <c r="E547" s="1" t="s">
        <v>15</v>
      </c>
      <c r="F547" s="1" t="s">
        <v>240</v>
      </c>
      <c r="G547" s="1" t="s">
        <v>241</v>
      </c>
    </row>
    <row r="548" spans="1:7" x14ac:dyDescent="0.25">
      <c r="A548" s="1" t="s">
        <v>700</v>
      </c>
      <c r="B548" s="1" t="s">
        <v>417</v>
      </c>
      <c r="C548" s="1" t="s">
        <v>64</v>
      </c>
      <c r="D548" s="1" t="s">
        <v>14</v>
      </c>
      <c r="E548" s="1" t="s">
        <v>15</v>
      </c>
      <c r="F548" s="1" t="s">
        <v>254</v>
      </c>
      <c r="G548" s="1" t="s">
        <v>260</v>
      </c>
    </row>
    <row r="549" spans="1:7" x14ac:dyDescent="0.25">
      <c r="A549" s="1" t="s">
        <v>700</v>
      </c>
      <c r="B549" s="1" t="s">
        <v>239</v>
      </c>
      <c r="C549" s="1" t="s">
        <v>64</v>
      </c>
      <c r="D549" s="1" t="s">
        <v>14</v>
      </c>
      <c r="E549" s="1" t="s">
        <v>15</v>
      </c>
      <c r="F549" s="1" t="s">
        <v>240</v>
      </c>
      <c r="G549" s="1" t="s">
        <v>241</v>
      </c>
    </row>
    <row r="550" spans="1:7" x14ac:dyDescent="0.25">
      <c r="A550" s="1" t="s">
        <v>701</v>
      </c>
      <c r="B550" s="1" t="s">
        <v>417</v>
      </c>
      <c r="C550" s="1" t="s">
        <v>64</v>
      </c>
      <c r="D550" s="1" t="s">
        <v>14</v>
      </c>
      <c r="E550" s="1" t="s">
        <v>15</v>
      </c>
      <c r="F550" s="1" t="s">
        <v>254</v>
      </c>
      <c r="G550" s="1" t="s">
        <v>260</v>
      </c>
    </row>
    <row r="551" spans="1:7" x14ac:dyDescent="0.25">
      <c r="A551" s="1" t="s">
        <v>702</v>
      </c>
      <c r="B551" s="1" t="s">
        <v>417</v>
      </c>
      <c r="C551" s="1" t="s">
        <v>237</v>
      </c>
      <c r="D551" s="1" t="s">
        <v>14</v>
      </c>
      <c r="E551" s="1" t="s">
        <v>15</v>
      </c>
      <c r="F551" s="1" t="s">
        <v>254</v>
      </c>
      <c r="G551" s="1" t="s">
        <v>260</v>
      </c>
    </row>
    <row r="552" spans="1:7" x14ac:dyDescent="0.25">
      <c r="A552" s="1" t="s">
        <v>702</v>
      </c>
      <c r="B552" s="1" t="s">
        <v>239</v>
      </c>
      <c r="C552" s="1" t="s">
        <v>237</v>
      </c>
      <c r="D552" s="1" t="s">
        <v>14</v>
      </c>
      <c r="E552" s="1" t="s">
        <v>15</v>
      </c>
      <c r="F552" s="1" t="s">
        <v>240</v>
      </c>
      <c r="G552" s="1" t="s">
        <v>241</v>
      </c>
    </row>
    <row r="553" spans="1:7" x14ac:dyDescent="0.25">
      <c r="A553" s="1" t="s">
        <v>703</v>
      </c>
      <c r="B553" s="1" t="s">
        <v>253</v>
      </c>
      <c r="C553" s="1" t="s">
        <v>605</v>
      </c>
      <c r="D553" s="1" t="s">
        <v>14</v>
      </c>
      <c r="E553" s="1" t="s">
        <v>15</v>
      </c>
      <c r="F553" s="1" t="s">
        <v>254</v>
      </c>
      <c r="G553" s="1" t="s">
        <v>255</v>
      </c>
    </row>
    <row r="554" spans="1:7" x14ac:dyDescent="0.25">
      <c r="A554" s="1" t="s">
        <v>704</v>
      </c>
      <c r="B554" s="1" t="s">
        <v>253</v>
      </c>
      <c r="C554" s="1" t="s">
        <v>237</v>
      </c>
      <c r="D554" s="1" t="s">
        <v>14</v>
      </c>
      <c r="E554" s="1" t="s">
        <v>15</v>
      </c>
      <c r="F554" s="1" t="s">
        <v>254</v>
      </c>
      <c r="G554" s="1" t="s">
        <v>255</v>
      </c>
    </row>
    <row r="555" spans="1:7" x14ac:dyDescent="0.25">
      <c r="A555" s="1" t="s">
        <v>704</v>
      </c>
      <c r="B555" s="1" t="s">
        <v>239</v>
      </c>
      <c r="C555" s="1" t="s">
        <v>237</v>
      </c>
      <c r="D555" s="1" t="s">
        <v>14</v>
      </c>
      <c r="E555" s="1" t="s">
        <v>15</v>
      </c>
      <c r="F555" s="1" t="s">
        <v>240</v>
      </c>
      <c r="G555" s="1" t="s">
        <v>241</v>
      </c>
    </row>
    <row r="556" spans="1:7" x14ac:dyDescent="0.25">
      <c r="A556" s="1" t="s">
        <v>149</v>
      </c>
      <c r="B556" s="1" t="s">
        <v>153</v>
      </c>
      <c r="C556" s="1" t="s">
        <v>13</v>
      </c>
      <c r="D556" s="1" t="s">
        <v>14</v>
      </c>
      <c r="E556" s="1" t="s">
        <v>15</v>
      </c>
      <c r="F556" s="1" t="s">
        <v>330</v>
      </c>
      <c r="G556" s="1" t="s">
        <v>152</v>
      </c>
    </row>
    <row r="557" spans="1:7" x14ac:dyDescent="0.25">
      <c r="A557" s="1" t="s">
        <v>150</v>
      </c>
      <c r="B557" s="1" t="s">
        <v>301</v>
      </c>
      <c r="C557" s="1" t="s">
        <v>13</v>
      </c>
      <c r="D557" s="1" t="s">
        <v>14</v>
      </c>
      <c r="E557" s="1" t="s">
        <v>15</v>
      </c>
      <c r="F557" s="1" t="s">
        <v>302</v>
      </c>
      <c r="G557" s="1" t="s">
        <v>303</v>
      </c>
    </row>
    <row r="558" spans="1:7" x14ac:dyDescent="0.25">
      <c r="A558" s="1" t="s">
        <v>705</v>
      </c>
      <c r="B558" s="1" t="s">
        <v>706</v>
      </c>
      <c r="C558" s="1" t="s">
        <v>13</v>
      </c>
      <c r="D558" s="1" t="s">
        <v>14</v>
      </c>
      <c r="E558" s="1" t="s">
        <v>15</v>
      </c>
      <c r="F558" s="1" t="s">
        <v>707</v>
      </c>
      <c r="G558" s="1"/>
    </row>
    <row r="559" spans="1:7" x14ac:dyDescent="0.25">
      <c r="A559" s="1" t="s">
        <v>708</v>
      </c>
      <c r="B559" s="1" t="s">
        <v>706</v>
      </c>
      <c r="C559" s="1" t="s">
        <v>163</v>
      </c>
      <c r="D559" s="1" t="s">
        <v>14</v>
      </c>
      <c r="E559" s="1" t="s">
        <v>15</v>
      </c>
      <c r="F559" s="1" t="s">
        <v>707</v>
      </c>
      <c r="G559" s="1"/>
    </row>
    <row r="560" spans="1:7" x14ac:dyDescent="0.25">
      <c r="A560" s="1" t="s">
        <v>709</v>
      </c>
      <c r="B560" s="1" t="s">
        <v>253</v>
      </c>
      <c r="C560" s="1" t="s">
        <v>237</v>
      </c>
      <c r="D560" s="1" t="s">
        <v>14</v>
      </c>
      <c r="E560" s="1" t="s">
        <v>15</v>
      </c>
      <c r="F560" s="1" t="s">
        <v>254</v>
      </c>
      <c r="G560" s="1" t="s">
        <v>255</v>
      </c>
    </row>
    <row r="561" spans="1:7" x14ac:dyDescent="0.25">
      <c r="A561" s="1" t="s">
        <v>710</v>
      </c>
      <c r="B561" s="1" t="s">
        <v>253</v>
      </c>
      <c r="C561" s="1" t="s">
        <v>310</v>
      </c>
      <c r="D561" s="1" t="s">
        <v>14</v>
      </c>
      <c r="E561" s="1" t="s">
        <v>15</v>
      </c>
      <c r="F561" s="1" t="s">
        <v>254</v>
      </c>
      <c r="G561" s="1" t="s">
        <v>711</v>
      </c>
    </row>
    <row r="562" spans="1:7" x14ac:dyDescent="0.25">
      <c r="A562" s="1" t="s">
        <v>710</v>
      </c>
      <c r="B562" s="1" t="s">
        <v>239</v>
      </c>
      <c r="C562" s="1" t="s">
        <v>310</v>
      </c>
      <c r="D562" s="1" t="s">
        <v>14</v>
      </c>
      <c r="E562" s="1" t="s">
        <v>15</v>
      </c>
      <c r="F562" s="1" t="s">
        <v>240</v>
      </c>
      <c r="G562" s="1" t="s">
        <v>241</v>
      </c>
    </row>
    <row r="563" spans="1:7" x14ac:dyDescent="0.25">
      <c r="A563" s="1" t="s">
        <v>712</v>
      </c>
      <c r="B563" s="1" t="s">
        <v>253</v>
      </c>
      <c r="C563" s="1" t="s">
        <v>237</v>
      </c>
      <c r="D563" s="1" t="s">
        <v>14</v>
      </c>
      <c r="E563" s="1" t="s">
        <v>15</v>
      </c>
      <c r="F563" s="1" t="s">
        <v>254</v>
      </c>
      <c r="G563" s="1" t="s">
        <v>255</v>
      </c>
    </row>
    <row r="564" spans="1:7" x14ac:dyDescent="0.25">
      <c r="A564" s="1" t="s">
        <v>713</v>
      </c>
      <c r="B564" s="1" t="s">
        <v>239</v>
      </c>
      <c r="C564" s="1" t="s">
        <v>237</v>
      </c>
      <c r="D564" s="1" t="s">
        <v>14</v>
      </c>
      <c r="E564" s="1" t="s">
        <v>15</v>
      </c>
      <c r="F564" s="1" t="s">
        <v>240</v>
      </c>
      <c r="G564" s="1" t="s">
        <v>241</v>
      </c>
    </row>
    <row r="565" spans="1:7" x14ac:dyDescent="0.25">
      <c r="A565" s="1" t="s">
        <v>714</v>
      </c>
      <c r="B565" s="1" t="s">
        <v>253</v>
      </c>
      <c r="C565" s="1" t="s">
        <v>165</v>
      </c>
      <c r="D565" s="1" t="s">
        <v>14</v>
      </c>
      <c r="E565" s="1" t="s">
        <v>15</v>
      </c>
      <c r="F565" s="1" t="s">
        <v>254</v>
      </c>
      <c r="G565" s="1" t="s">
        <v>255</v>
      </c>
    </row>
    <row r="566" spans="1:7" x14ac:dyDescent="0.25">
      <c r="A566" s="1" t="s">
        <v>715</v>
      </c>
      <c r="B566" s="1" t="s">
        <v>367</v>
      </c>
      <c r="C566" s="1" t="s">
        <v>165</v>
      </c>
      <c r="D566" s="1" t="s">
        <v>14</v>
      </c>
      <c r="E566" s="1" t="s">
        <v>15</v>
      </c>
      <c r="F566" s="1" t="s">
        <v>368</v>
      </c>
      <c r="G566" s="1" t="s">
        <v>255</v>
      </c>
    </row>
    <row r="567" spans="1:7" x14ac:dyDescent="0.25">
      <c r="A567" s="1" t="s">
        <v>716</v>
      </c>
      <c r="B567" s="1" t="s">
        <v>253</v>
      </c>
      <c r="C567" s="1" t="s">
        <v>235</v>
      </c>
      <c r="D567" s="1" t="s">
        <v>14</v>
      </c>
      <c r="E567" s="1" t="s">
        <v>15</v>
      </c>
      <c r="F567" s="1" t="s">
        <v>254</v>
      </c>
      <c r="G567" s="1" t="s">
        <v>255</v>
      </c>
    </row>
    <row r="568" spans="1:7" x14ac:dyDescent="0.25">
      <c r="A568" s="1" t="s">
        <v>717</v>
      </c>
      <c r="B568" s="1" t="s">
        <v>253</v>
      </c>
      <c r="C568" s="1" t="s">
        <v>21</v>
      </c>
      <c r="D568" s="1" t="s">
        <v>14</v>
      </c>
      <c r="E568" s="1" t="s">
        <v>15</v>
      </c>
      <c r="F568" s="1" t="s">
        <v>254</v>
      </c>
      <c r="G568" s="1" t="s">
        <v>255</v>
      </c>
    </row>
    <row r="569" spans="1:7" x14ac:dyDescent="0.25">
      <c r="A569" s="1" t="s">
        <v>718</v>
      </c>
      <c r="B569" s="1" t="s">
        <v>253</v>
      </c>
      <c r="C569" s="1" t="s">
        <v>235</v>
      </c>
      <c r="D569" s="1" t="s">
        <v>14</v>
      </c>
      <c r="E569" s="1" t="s">
        <v>15</v>
      </c>
      <c r="F569" s="1" t="s">
        <v>254</v>
      </c>
      <c r="G569" s="1" t="s">
        <v>255</v>
      </c>
    </row>
    <row r="570" spans="1:7" x14ac:dyDescent="0.25">
      <c r="A570" s="1" t="s">
        <v>718</v>
      </c>
      <c r="B570" s="1" t="s">
        <v>239</v>
      </c>
      <c r="C570" s="1" t="s">
        <v>235</v>
      </c>
      <c r="D570" s="1" t="s">
        <v>14</v>
      </c>
      <c r="E570" s="1" t="s">
        <v>15</v>
      </c>
      <c r="F570" s="1" t="s">
        <v>240</v>
      </c>
      <c r="G570" s="1" t="s">
        <v>241</v>
      </c>
    </row>
    <row r="571" spans="1:7" x14ac:dyDescent="0.25">
      <c r="A571" s="1" t="s">
        <v>719</v>
      </c>
      <c r="B571" s="1" t="s">
        <v>253</v>
      </c>
      <c r="C571" s="1" t="s">
        <v>611</v>
      </c>
      <c r="D571" s="1" t="s">
        <v>14</v>
      </c>
      <c r="E571" s="1" t="s">
        <v>15</v>
      </c>
      <c r="F571" s="1" t="s">
        <v>254</v>
      </c>
      <c r="G571" s="1" t="s">
        <v>255</v>
      </c>
    </row>
    <row r="572" spans="1:7" x14ac:dyDescent="0.25">
      <c r="A572" s="1" t="s">
        <v>720</v>
      </c>
      <c r="B572" s="1" t="s">
        <v>253</v>
      </c>
      <c r="C572" s="1" t="s">
        <v>611</v>
      </c>
      <c r="D572" s="1" t="s">
        <v>14</v>
      </c>
      <c r="E572" s="1" t="s">
        <v>15</v>
      </c>
      <c r="F572" s="1" t="s">
        <v>254</v>
      </c>
      <c r="G572" s="1" t="s">
        <v>255</v>
      </c>
    </row>
    <row r="573" spans="1:7" x14ac:dyDescent="0.25">
      <c r="A573" s="1" t="s">
        <v>721</v>
      </c>
      <c r="B573" s="1" t="s">
        <v>253</v>
      </c>
      <c r="C573" s="1" t="s">
        <v>557</v>
      </c>
      <c r="D573" s="1" t="s">
        <v>14</v>
      </c>
      <c r="E573" s="1" t="s">
        <v>15</v>
      </c>
      <c r="F573" s="1" t="s">
        <v>254</v>
      </c>
      <c r="G573" s="1" t="s">
        <v>255</v>
      </c>
    </row>
    <row r="574" spans="1:7" x14ac:dyDescent="0.25">
      <c r="A574" s="1" t="s">
        <v>722</v>
      </c>
      <c r="B574" s="1" t="s">
        <v>253</v>
      </c>
      <c r="C574" s="1" t="s">
        <v>235</v>
      </c>
      <c r="D574" s="1" t="s">
        <v>14</v>
      </c>
      <c r="E574" s="1" t="s">
        <v>15</v>
      </c>
      <c r="F574" s="1" t="s">
        <v>254</v>
      </c>
      <c r="G574" s="1" t="s">
        <v>255</v>
      </c>
    </row>
    <row r="575" spans="1:7" x14ac:dyDescent="0.25">
      <c r="A575" s="1" t="s">
        <v>722</v>
      </c>
      <c r="B575" s="1" t="s">
        <v>239</v>
      </c>
      <c r="C575" s="1" t="s">
        <v>235</v>
      </c>
      <c r="D575" s="1" t="s">
        <v>14</v>
      </c>
      <c r="E575" s="1" t="s">
        <v>15</v>
      </c>
      <c r="F575" s="1" t="s">
        <v>240</v>
      </c>
      <c r="G575" s="1" t="s">
        <v>241</v>
      </c>
    </row>
    <row r="576" spans="1:7" x14ac:dyDescent="0.25">
      <c r="A576" s="1" t="s">
        <v>723</v>
      </c>
      <c r="B576" s="1" t="s">
        <v>253</v>
      </c>
      <c r="C576" s="1" t="s">
        <v>21</v>
      </c>
      <c r="D576" s="1" t="s">
        <v>14</v>
      </c>
      <c r="E576" s="1" t="s">
        <v>15</v>
      </c>
      <c r="F576" s="1" t="s">
        <v>254</v>
      </c>
      <c r="G576" s="1" t="s">
        <v>255</v>
      </c>
    </row>
    <row r="577" spans="1:7" x14ac:dyDescent="0.25">
      <c r="A577" s="1" t="s">
        <v>724</v>
      </c>
      <c r="B577" s="1" t="s">
        <v>239</v>
      </c>
      <c r="C577" s="1" t="s">
        <v>165</v>
      </c>
      <c r="D577" s="1" t="s">
        <v>14</v>
      </c>
      <c r="E577" s="1" t="s">
        <v>15</v>
      </c>
      <c r="F577" s="1" t="s">
        <v>240</v>
      </c>
      <c r="G577" s="1" t="s">
        <v>241</v>
      </c>
    </row>
    <row r="578" spans="1:7" x14ac:dyDescent="0.25">
      <c r="A578" s="1" t="s">
        <v>725</v>
      </c>
      <c r="B578" s="1" t="s">
        <v>253</v>
      </c>
      <c r="C578" s="1" t="s">
        <v>235</v>
      </c>
      <c r="D578" s="1" t="s">
        <v>14</v>
      </c>
      <c r="E578" s="1" t="s">
        <v>15</v>
      </c>
      <c r="F578" s="1" t="s">
        <v>254</v>
      </c>
      <c r="G578" s="1" t="s">
        <v>255</v>
      </c>
    </row>
    <row r="579" spans="1:7" x14ac:dyDescent="0.25">
      <c r="A579" s="1" t="s">
        <v>725</v>
      </c>
      <c r="B579" s="1" t="s">
        <v>239</v>
      </c>
      <c r="C579" s="1" t="s">
        <v>235</v>
      </c>
      <c r="D579" s="1" t="s">
        <v>14</v>
      </c>
      <c r="E579" s="1" t="s">
        <v>15</v>
      </c>
      <c r="F579" s="1" t="s">
        <v>240</v>
      </c>
      <c r="G579" s="1" t="s">
        <v>241</v>
      </c>
    </row>
    <row r="580" spans="1:7" x14ac:dyDescent="0.25">
      <c r="A580" s="1" t="s">
        <v>726</v>
      </c>
      <c r="B580" s="1" t="s">
        <v>367</v>
      </c>
      <c r="C580" s="1" t="s">
        <v>235</v>
      </c>
      <c r="D580" s="1" t="s">
        <v>14</v>
      </c>
      <c r="E580" s="1" t="s">
        <v>15</v>
      </c>
      <c r="F580" s="1" t="s">
        <v>368</v>
      </c>
      <c r="G580" s="1" t="s">
        <v>255</v>
      </c>
    </row>
    <row r="581" spans="1:7" x14ac:dyDescent="0.25">
      <c r="A581" s="1" t="s">
        <v>727</v>
      </c>
      <c r="B581" s="1" t="s">
        <v>367</v>
      </c>
      <c r="C581" s="1" t="s">
        <v>235</v>
      </c>
      <c r="D581" s="1" t="s">
        <v>14</v>
      </c>
      <c r="E581" s="1" t="s">
        <v>15</v>
      </c>
      <c r="F581" s="1" t="s">
        <v>368</v>
      </c>
      <c r="G581" s="1" t="s">
        <v>255</v>
      </c>
    </row>
    <row r="582" spans="1:7" x14ac:dyDescent="0.25">
      <c r="A582" s="1" t="s">
        <v>728</v>
      </c>
      <c r="B582" s="1" t="s">
        <v>367</v>
      </c>
      <c r="C582" s="1" t="s">
        <v>235</v>
      </c>
      <c r="D582" s="1" t="s">
        <v>14</v>
      </c>
      <c r="E582" s="1" t="s">
        <v>15</v>
      </c>
      <c r="F582" s="1" t="s">
        <v>368</v>
      </c>
      <c r="G582" s="1" t="s">
        <v>255</v>
      </c>
    </row>
    <row r="583" spans="1:7" x14ac:dyDescent="0.25">
      <c r="A583" s="1" t="s">
        <v>729</v>
      </c>
      <c r="B583" s="1" t="s">
        <v>253</v>
      </c>
      <c r="C583" s="1" t="s">
        <v>611</v>
      </c>
      <c r="D583" s="1" t="s">
        <v>14</v>
      </c>
      <c r="E583" s="1" t="s">
        <v>15</v>
      </c>
      <c r="F583" s="1" t="s">
        <v>254</v>
      </c>
      <c r="G583" s="1" t="s">
        <v>255</v>
      </c>
    </row>
    <row r="584" spans="1:7" x14ac:dyDescent="0.25">
      <c r="A584" s="1" t="s">
        <v>730</v>
      </c>
      <c r="B584" s="1" t="s">
        <v>253</v>
      </c>
      <c r="C584" s="1" t="s">
        <v>21</v>
      </c>
      <c r="D584" s="1" t="s">
        <v>14</v>
      </c>
      <c r="E584" s="1" t="s">
        <v>15</v>
      </c>
      <c r="F584" s="1" t="s">
        <v>254</v>
      </c>
      <c r="G584" s="1" t="s">
        <v>255</v>
      </c>
    </row>
    <row r="585" spans="1:7" x14ac:dyDescent="0.25">
      <c r="A585" s="1" t="s">
        <v>730</v>
      </c>
      <c r="B585" s="1" t="s">
        <v>239</v>
      </c>
      <c r="C585" s="1" t="s">
        <v>21</v>
      </c>
      <c r="D585" s="1" t="s">
        <v>14</v>
      </c>
      <c r="E585" s="1" t="s">
        <v>15</v>
      </c>
      <c r="F585" s="1" t="s">
        <v>240</v>
      </c>
      <c r="G585" s="1" t="s">
        <v>241</v>
      </c>
    </row>
    <row r="586" spans="1:7" x14ac:dyDescent="0.25">
      <c r="A586" s="1" t="s">
        <v>731</v>
      </c>
      <c r="B586" s="1" t="s">
        <v>253</v>
      </c>
      <c r="C586" s="1" t="s">
        <v>167</v>
      </c>
      <c r="D586" s="1" t="s">
        <v>14</v>
      </c>
      <c r="E586" s="1" t="s">
        <v>15</v>
      </c>
      <c r="F586" s="1" t="s">
        <v>254</v>
      </c>
      <c r="G586" s="1" t="s">
        <v>255</v>
      </c>
    </row>
    <row r="587" spans="1:7" x14ac:dyDescent="0.25">
      <c r="A587" s="1" t="s">
        <v>731</v>
      </c>
      <c r="B587" s="1" t="s">
        <v>239</v>
      </c>
      <c r="C587" s="1" t="s">
        <v>167</v>
      </c>
      <c r="D587" s="1" t="s">
        <v>14</v>
      </c>
      <c r="E587" s="1" t="s">
        <v>15</v>
      </c>
      <c r="F587" s="1" t="s">
        <v>240</v>
      </c>
      <c r="G587" s="1" t="s">
        <v>241</v>
      </c>
    </row>
    <row r="588" spans="1:7" x14ac:dyDescent="0.25">
      <c r="A588" s="1" t="s">
        <v>732</v>
      </c>
      <c r="B588" s="1" t="s">
        <v>253</v>
      </c>
      <c r="C588" s="1" t="s">
        <v>307</v>
      </c>
      <c r="D588" s="1" t="s">
        <v>14</v>
      </c>
      <c r="E588" s="1" t="s">
        <v>15</v>
      </c>
      <c r="F588" s="1" t="s">
        <v>254</v>
      </c>
      <c r="G588" s="1" t="s">
        <v>255</v>
      </c>
    </row>
    <row r="589" spans="1:7" x14ac:dyDescent="0.25">
      <c r="A589" s="1" t="s">
        <v>733</v>
      </c>
      <c r="B589" s="1" t="s">
        <v>253</v>
      </c>
      <c r="C589" s="1" t="s">
        <v>64</v>
      </c>
      <c r="D589" s="1" t="s">
        <v>14</v>
      </c>
      <c r="E589" s="1" t="s">
        <v>15</v>
      </c>
      <c r="F589" s="1" t="s">
        <v>254</v>
      </c>
      <c r="G589" s="1" t="s">
        <v>255</v>
      </c>
    </row>
    <row r="590" spans="1:7" x14ac:dyDescent="0.25">
      <c r="A590" s="1" t="s">
        <v>733</v>
      </c>
      <c r="B590" s="1" t="s">
        <v>239</v>
      </c>
      <c r="C590" s="1" t="s">
        <v>64</v>
      </c>
      <c r="D590" s="1" t="s">
        <v>14</v>
      </c>
      <c r="E590" s="1" t="s">
        <v>15</v>
      </c>
      <c r="F590" s="1" t="s">
        <v>240</v>
      </c>
      <c r="G590" s="1" t="s">
        <v>241</v>
      </c>
    </row>
    <row r="591" spans="1:7" x14ac:dyDescent="0.25">
      <c r="A591" s="1" t="s">
        <v>734</v>
      </c>
      <c r="B591" s="1" t="s">
        <v>367</v>
      </c>
      <c r="C591" s="1" t="s">
        <v>64</v>
      </c>
      <c r="D591" s="1" t="s">
        <v>14</v>
      </c>
      <c r="E591" s="1" t="s">
        <v>15</v>
      </c>
      <c r="F591" s="1" t="s">
        <v>368</v>
      </c>
      <c r="G591" s="1" t="s">
        <v>255</v>
      </c>
    </row>
    <row r="592" spans="1:7" x14ac:dyDescent="0.25">
      <c r="A592" s="1" t="s">
        <v>735</v>
      </c>
      <c r="B592" s="1" t="s">
        <v>253</v>
      </c>
      <c r="C592" s="1" t="s">
        <v>592</v>
      </c>
      <c r="D592" s="1" t="s">
        <v>14</v>
      </c>
      <c r="E592" s="1" t="s">
        <v>15</v>
      </c>
      <c r="F592" s="1" t="s">
        <v>254</v>
      </c>
      <c r="G592" s="1" t="s">
        <v>255</v>
      </c>
    </row>
    <row r="593" spans="1:7" x14ac:dyDescent="0.25">
      <c r="A593" s="1" t="s">
        <v>736</v>
      </c>
      <c r="B593" s="1" t="s">
        <v>253</v>
      </c>
      <c r="C593" s="1" t="s">
        <v>237</v>
      </c>
      <c r="D593" s="1" t="s">
        <v>14</v>
      </c>
      <c r="E593" s="1" t="s">
        <v>15</v>
      </c>
      <c r="F593" s="1" t="s">
        <v>254</v>
      </c>
      <c r="G593" s="1" t="s">
        <v>255</v>
      </c>
    </row>
    <row r="594" spans="1:7" x14ac:dyDescent="0.25">
      <c r="A594" s="1" t="s">
        <v>736</v>
      </c>
      <c r="B594" s="1" t="s">
        <v>239</v>
      </c>
      <c r="C594" s="1" t="s">
        <v>237</v>
      </c>
      <c r="D594" s="1" t="s">
        <v>14</v>
      </c>
      <c r="E594" s="1" t="s">
        <v>15</v>
      </c>
      <c r="F594" s="1" t="s">
        <v>240</v>
      </c>
      <c r="G594" s="1" t="s">
        <v>241</v>
      </c>
    </row>
    <row r="595" spans="1:7" x14ac:dyDescent="0.25">
      <c r="A595" s="1" t="s">
        <v>737</v>
      </c>
      <c r="B595" s="1" t="s">
        <v>253</v>
      </c>
      <c r="C595" s="1" t="s">
        <v>21</v>
      </c>
      <c r="D595" s="1" t="s">
        <v>14</v>
      </c>
      <c r="E595" s="1" t="s">
        <v>15</v>
      </c>
      <c r="F595" s="1" t="s">
        <v>254</v>
      </c>
      <c r="G595" s="1" t="s">
        <v>255</v>
      </c>
    </row>
    <row r="596" spans="1:7" x14ac:dyDescent="0.25">
      <c r="A596" s="1" t="s">
        <v>738</v>
      </c>
      <c r="B596" s="1" t="s">
        <v>253</v>
      </c>
      <c r="C596" s="1" t="s">
        <v>611</v>
      </c>
      <c r="D596" s="1" t="s">
        <v>14</v>
      </c>
      <c r="E596" s="1" t="s">
        <v>15</v>
      </c>
      <c r="F596" s="1" t="s">
        <v>254</v>
      </c>
      <c r="G596" s="1" t="s">
        <v>255</v>
      </c>
    </row>
    <row r="597" spans="1:7" x14ac:dyDescent="0.25">
      <c r="A597" s="1" t="s">
        <v>220</v>
      </c>
      <c r="B597" s="1" t="s">
        <v>559</v>
      </c>
      <c r="C597" s="1" t="s">
        <v>167</v>
      </c>
      <c r="D597" s="1" t="s">
        <v>14</v>
      </c>
      <c r="E597" s="1" t="s">
        <v>15</v>
      </c>
      <c r="F597" s="1" t="s">
        <v>560</v>
      </c>
      <c r="G597" s="1"/>
    </row>
    <row r="598" spans="1:7" x14ac:dyDescent="0.25">
      <c r="A598" s="1" t="s">
        <v>739</v>
      </c>
      <c r="B598" s="1" t="s">
        <v>253</v>
      </c>
      <c r="C598" s="1" t="s">
        <v>19</v>
      </c>
      <c r="D598" s="1" t="s">
        <v>14</v>
      </c>
      <c r="E598" s="1" t="s">
        <v>15</v>
      </c>
      <c r="F598" s="1" t="s">
        <v>254</v>
      </c>
      <c r="G598" s="1" t="s">
        <v>255</v>
      </c>
    </row>
    <row r="599" spans="1:7" x14ac:dyDescent="0.25">
      <c r="A599" s="1" t="s">
        <v>154</v>
      </c>
      <c r="B599" s="1" t="s">
        <v>91</v>
      </c>
      <c r="C599" s="1" t="s">
        <v>19</v>
      </c>
      <c r="D599" s="1" t="s">
        <v>14</v>
      </c>
      <c r="E599" s="1" t="s">
        <v>15</v>
      </c>
      <c r="F599" s="1" t="s">
        <v>330</v>
      </c>
      <c r="G599" s="1" t="s">
        <v>90</v>
      </c>
    </row>
    <row r="600" spans="1:7" x14ac:dyDescent="0.25">
      <c r="A600" s="1" t="s">
        <v>740</v>
      </c>
      <c r="B600" s="1" t="s">
        <v>253</v>
      </c>
      <c r="C600" s="1" t="s">
        <v>19</v>
      </c>
      <c r="D600" s="1" t="s">
        <v>14</v>
      </c>
      <c r="E600" s="1" t="s">
        <v>15</v>
      </c>
      <c r="F600" s="1" t="s">
        <v>254</v>
      </c>
      <c r="G600" s="1" t="s">
        <v>255</v>
      </c>
    </row>
    <row r="601" spans="1:7" x14ac:dyDescent="0.25">
      <c r="A601" s="1" t="s">
        <v>741</v>
      </c>
      <c r="B601" s="1" t="s">
        <v>367</v>
      </c>
      <c r="C601" s="1" t="s">
        <v>19</v>
      </c>
      <c r="D601" s="1" t="s">
        <v>14</v>
      </c>
      <c r="E601" s="1" t="s">
        <v>15</v>
      </c>
      <c r="F601" s="1" t="s">
        <v>368</v>
      </c>
      <c r="G601" s="1" t="s">
        <v>255</v>
      </c>
    </row>
    <row r="602" spans="1:7" x14ac:dyDescent="0.25">
      <c r="A602" s="1" t="s">
        <v>742</v>
      </c>
      <c r="B602" s="1" t="s">
        <v>253</v>
      </c>
      <c r="C602" s="1" t="s">
        <v>19</v>
      </c>
      <c r="D602" s="1" t="s">
        <v>14</v>
      </c>
      <c r="E602" s="1" t="s">
        <v>15</v>
      </c>
      <c r="F602" s="1" t="s">
        <v>254</v>
      </c>
      <c r="G602" s="1" t="s">
        <v>255</v>
      </c>
    </row>
    <row r="603" spans="1:7" x14ac:dyDescent="0.25">
      <c r="A603" s="1" t="s">
        <v>743</v>
      </c>
      <c r="B603" s="1" t="s">
        <v>253</v>
      </c>
      <c r="C603" s="1" t="s">
        <v>19</v>
      </c>
      <c r="D603" s="1" t="s">
        <v>14</v>
      </c>
      <c r="E603" s="1" t="s">
        <v>15</v>
      </c>
      <c r="F603" s="1" t="s">
        <v>254</v>
      </c>
      <c r="G603" s="1" t="s">
        <v>255</v>
      </c>
    </row>
    <row r="604" spans="1:7" x14ac:dyDescent="0.25">
      <c r="A604" s="1" t="s">
        <v>743</v>
      </c>
      <c r="B604" s="1" t="s">
        <v>239</v>
      </c>
      <c r="C604" s="1" t="s">
        <v>19</v>
      </c>
      <c r="D604" s="1" t="s">
        <v>14</v>
      </c>
      <c r="E604" s="1" t="s">
        <v>15</v>
      </c>
      <c r="F604" s="1" t="s">
        <v>240</v>
      </c>
      <c r="G604" s="1" t="s">
        <v>241</v>
      </c>
    </row>
    <row r="605" spans="1:7" x14ac:dyDescent="0.25">
      <c r="A605" s="1" t="s">
        <v>744</v>
      </c>
      <c r="B605" s="1" t="s">
        <v>297</v>
      </c>
      <c r="C605" s="1" t="s">
        <v>163</v>
      </c>
      <c r="D605" s="1" t="s">
        <v>14</v>
      </c>
      <c r="E605" s="1" t="s">
        <v>15</v>
      </c>
      <c r="F605" s="1" t="s">
        <v>298</v>
      </c>
      <c r="G605" s="1"/>
    </row>
    <row r="606" spans="1:7" x14ac:dyDescent="0.25">
      <c r="A606" s="1" t="s">
        <v>745</v>
      </c>
      <c r="B606" s="1" t="s">
        <v>253</v>
      </c>
      <c r="C606" s="1" t="s">
        <v>581</v>
      </c>
      <c r="D606" s="1" t="s">
        <v>14</v>
      </c>
      <c r="E606" s="1" t="s">
        <v>15</v>
      </c>
      <c r="F606" s="1" t="s">
        <v>254</v>
      </c>
      <c r="G606" s="1" t="s">
        <v>255</v>
      </c>
    </row>
    <row r="607" spans="1:7" x14ac:dyDescent="0.25">
      <c r="A607" s="1" t="s">
        <v>746</v>
      </c>
      <c r="B607" s="1" t="s">
        <v>312</v>
      </c>
      <c r="C607" s="1" t="s">
        <v>19</v>
      </c>
      <c r="D607" s="1" t="s">
        <v>24</v>
      </c>
      <c r="E607" s="1" t="s">
        <v>15</v>
      </c>
      <c r="F607" s="1" t="s">
        <v>313</v>
      </c>
      <c r="G607" s="1"/>
    </row>
    <row r="608" spans="1:7" x14ac:dyDescent="0.25">
      <c r="A608" s="1" t="s">
        <v>747</v>
      </c>
      <c r="B608" s="1" t="s">
        <v>258</v>
      </c>
      <c r="C608" s="1" t="s">
        <v>592</v>
      </c>
      <c r="D608" s="1" t="s">
        <v>14</v>
      </c>
      <c r="E608" s="1" t="s">
        <v>15</v>
      </c>
      <c r="F608" s="1" t="s">
        <v>259</v>
      </c>
      <c r="G608" s="1" t="s">
        <v>255</v>
      </c>
    </row>
    <row r="609" spans="1:7" x14ac:dyDescent="0.25">
      <c r="A609" s="1" t="s">
        <v>748</v>
      </c>
      <c r="B609" s="1" t="s">
        <v>437</v>
      </c>
      <c r="C609" s="1" t="s">
        <v>19</v>
      </c>
      <c r="D609" s="1" t="s">
        <v>14</v>
      </c>
      <c r="E609" s="1" t="s">
        <v>15</v>
      </c>
      <c r="F609" s="1" t="s">
        <v>438</v>
      </c>
      <c r="G609" s="1"/>
    </row>
    <row r="610" spans="1:7" x14ac:dyDescent="0.25">
      <c r="A610" s="1" t="s">
        <v>749</v>
      </c>
      <c r="B610" s="1" t="s">
        <v>316</v>
      </c>
      <c r="C610" s="1" t="s">
        <v>350</v>
      </c>
      <c r="D610" s="1" t="s">
        <v>14</v>
      </c>
      <c r="E610" s="1" t="s">
        <v>15</v>
      </c>
      <c r="F610" s="1" t="s">
        <v>317</v>
      </c>
      <c r="G610" s="1"/>
    </row>
    <row r="611" spans="1:7" x14ac:dyDescent="0.25">
      <c r="A611" s="1" t="s">
        <v>133</v>
      </c>
      <c r="B611" s="1" t="s">
        <v>301</v>
      </c>
      <c r="C611" s="1" t="s">
        <v>611</v>
      </c>
      <c r="D611" s="1" t="s">
        <v>14</v>
      </c>
      <c r="E611" s="1" t="s">
        <v>15</v>
      </c>
      <c r="F611" s="1" t="s">
        <v>302</v>
      </c>
      <c r="G611" s="1" t="s">
        <v>303</v>
      </c>
    </row>
    <row r="612" spans="1:7" x14ac:dyDescent="0.25">
      <c r="A612" s="1" t="s">
        <v>60</v>
      </c>
      <c r="B612" s="1" t="s">
        <v>12</v>
      </c>
      <c r="C612" s="1" t="s">
        <v>19</v>
      </c>
      <c r="D612" s="1" t="s">
        <v>14</v>
      </c>
      <c r="E612" s="1" t="s">
        <v>15</v>
      </c>
      <c r="F612" s="1" t="s">
        <v>256</v>
      </c>
      <c r="G612" s="1" t="s">
        <v>10</v>
      </c>
    </row>
    <row r="613" spans="1:7" x14ac:dyDescent="0.25">
      <c r="A613" s="1" t="s">
        <v>750</v>
      </c>
      <c r="B613" s="1" t="s">
        <v>243</v>
      </c>
      <c r="C613" s="1" t="s">
        <v>592</v>
      </c>
      <c r="D613" s="1" t="s">
        <v>14</v>
      </c>
      <c r="E613" s="1" t="s">
        <v>15</v>
      </c>
      <c r="F613" s="1" t="s">
        <v>245</v>
      </c>
      <c r="G613" s="1" t="s">
        <v>339</v>
      </c>
    </row>
    <row r="614" spans="1:7" x14ac:dyDescent="0.25">
      <c r="A614" s="1" t="s">
        <v>62</v>
      </c>
      <c r="B614" s="1" t="s">
        <v>12</v>
      </c>
      <c r="C614" s="1" t="s">
        <v>64</v>
      </c>
      <c r="D614" s="1" t="s">
        <v>14</v>
      </c>
      <c r="E614" s="1" t="s">
        <v>15</v>
      </c>
      <c r="F614" s="1" t="s">
        <v>256</v>
      </c>
      <c r="G614" s="1" t="s">
        <v>10</v>
      </c>
    </row>
    <row r="615" spans="1:7" x14ac:dyDescent="0.25">
      <c r="A615" s="1" t="s">
        <v>65</v>
      </c>
      <c r="B615" s="1" t="s">
        <v>12</v>
      </c>
      <c r="C615" s="1" t="s">
        <v>64</v>
      </c>
      <c r="D615" s="1" t="s">
        <v>14</v>
      </c>
      <c r="E615" s="1" t="s">
        <v>15</v>
      </c>
      <c r="F615" s="1" t="s">
        <v>256</v>
      </c>
      <c r="G615" s="1" t="s">
        <v>10</v>
      </c>
    </row>
    <row r="616" spans="1:7" x14ac:dyDescent="0.25">
      <c r="A616" s="1" t="s">
        <v>140</v>
      </c>
      <c r="B616" s="1" t="s">
        <v>301</v>
      </c>
      <c r="C616" s="1" t="s">
        <v>592</v>
      </c>
      <c r="D616" s="1" t="s">
        <v>14</v>
      </c>
      <c r="E616" s="1" t="s">
        <v>15</v>
      </c>
      <c r="F616" s="1" t="s">
        <v>302</v>
      </c>
      <c r="G616" s="1" t="s">
        <v>303</v>
      </c>
    </row>
    <row r="617" spans="1:7" x14ac:dyDescent="0.25">
      <c r="A617" s="1" t="s">
        <v>751</v>
      </c>
      <c r="B617" s="1" t="s">
        <v>243</v>
      </c>
      <c r="C617" s="1" t="s">
        <v>13</v>
      </c>
      <c r="D617" s="1" t="s">
        <v>14</v>
      </c>
      <c r="E617" s="1" t="s">
        <v>15</v>
      </c>
      <c r="F617" s="1" t="s">
        <v>245</v>
      </c>
      <c r="G617" s="1" t="s">
        <v>339</v>
      </c>
    </row>
    <row r="618" spans="1:7" x14ac:dyDescent="0.25">
      <c r="A618" s="1" t="s">
        <v>752</v>
      </c>
      <c r="B618" s="1" t="s">
        <v>243</v>
      </c>
      <c r="C618" s="1" t="s">
        <v>165</v>
      </c>
      <c r="D618" s="1" t="s">
        <v>14</v>
      </c>
      <c r="E618" s="1" t="s">
        <v>15</v>
      </c>
      <c r="F618" s="1" t="s">
        <v>245</v>
      </c>
      <c r="G618" s="1" t="s">
        <v>246</v>
      </c>
    </row>
    <row r="619" spans="1:7" x14ac:dyDescent="0.25">
      <c r="A619" s="1" t="s">
        <v>101</v>
      </c>
      <c r="B619" s="1" t="s">
        <v>301</v>
      </c>
      <c r="C619" s="1" t="s">
        <v>163</v>
      </c>
      <c r="D619" s="1" t="s">
        <v>14</v>
      </c>
      <c r="E619" s="1" t="s">
        <v>15</v>
      </c>
      <c r="F619" s="1" t="s">
        <v>302</v>
      </c>
      <c r="G619" s="1" t="s">
        <v>303</v>
      </c>
    </row>
    <row r="620" spans="1:7" x14ac:dyDescent="0.25">
      <c r="A620" s="1" t="s">
        <v>103</v>
      </c>
      <c r="B620" s="1" t="s">
        <v>301</v>
      </c>
      <c r="C620" s="1" t="s">
        <v>171</v>
      </c>
      <c r="D620" s="1" t="s">
        <v>14</v>
      </c>
      <c r="E620" s="1" t="s">
        <v>15</v>
      </c>
      <c r="F620" s="1" t="s">
        <v>302</v>
      </c>
      <c r="G620" s="1" t="s">
        <v>303</v>
      </c>
    </row>
    <row r="621" spans="1:7" x14ac:dyDescent="0.25">
      <c r="A621" s="1" t="s">
        <v>753</v>
      </c>
      <c r="B621" s="1" t="s">
        <v>301</v>
      </c>
      <c r="C621" s="1" t="s">
        <v>605</v>
      </c>
      <c r="D621" s="1" t="s">
        <v>14</v>
      </c>
      <c r="E621" s="1" t="s">
        <v>15</v>
      </c>
      <c r="F621" s="1" t="s">
        <v>302</v>
      </c>
      <c r="G621" s="1" t="s">
        <v>303</v>
      </c>
    </row>
    <row r="622" spans="1:7" x14ac:dyDescent="0.25">
      <c r="A622" s="1" t="s">
        <v>138</v>
      </c>
      <c r="B622" s="1" t="s">
        <v>301</v>
      </c>
      <c r="C622" s="1" t="s">
        <v>64</v>
      </c>
      <c r="D622" s="1" t="s">
        <v>14</v>
      </c>
      <c r="E622" s="1" t="s">
        <v>15</v>
      </c>
      <c r="F622" s="1" t="s">
        <v>302</v>
      </c>
      <c r="G622" s="1" t="s">
        <v>303</v>
      </c>
    </row>
    <row r="623" spans="1:7" x14ac:dyDescent="0.25">
      <c r="A623" s="1" t="s">
        <v>754</v>
      </c>
      <c r="B623" s="1" t="s">
        <v>243</v>
      </c>
      <c r="C623" s="1" t="s">
        <v>19</v>
      </c>
      <c r="D623" s="1" t="s">
        <v>24</v>
      </c>
      <c r="E623" s="1" t="s">
        <v>15</v>
      </c>
      <c r="F623" s="1" t="s">
        <v>245</v>
      </c>
      <c r="G623" s="1" t="s">
        <v>246</v>
      </c>
    </row>
    <row r="624" spans="1:7" x14ac:dyDescent="0.25">
      <c r="A624" s="1" t="s">
        <v>755</v>
      </c>
      <c r="B624" s="1" t="s">
        <v>243</v>
      </c>
      <c r="C624" s="1" t="s">
        <v>19</v>
      </c>
      <c r="D624" s="1" t="s">
        <v>14</v>
      </c>
      <c r="E624" s="1" t="s">
        <v>15</v>
      </c>
      <c r="F624" s="1" t="s">
        <v>245</v>
      </c>
      <c r="G624" s="1" t="s">
        <v>246</v>
      </c>
    </row>
    <row r="625" spans="1:7" x14ac:dyDescent="0.25">
      <c r="A625" s="1" t="s">
        <v>756</v>
      </c>
      <c r="B625" s="1" t="s">
        <v>243</v>
      </c>
      <c r="C625" s="1" t="s">
        <v>19</v>
      </c>
      <c r="D625" s="1" t="s">
        <v>14</v>
      </c>
      <c r="E625" s="1" t="s">
        <v>15</v>
      </c>
      <c r="F625" s="1" t="s">
        <v>245</v>
      </c>
      <c r="G625" s="1" t="s">
        <v>246</v>
      </c>
    </row>
    <row r="626" spans="1:7" x14ac:dyDescent="0.25">
      <c r="A626" s="1" t="s">
        <v>757</v>
      </c>
      <c r="B626" s="1" t="s">
        <v>243</v>
      </c>
      <c r="C626" s="1" t="s">
        <v>19</v>
      </c>
      <c r="D626" s="1" t="s">
        <v>14</v>
      </c>
      <c r="E626" s="1" t="s">
        <v>15</v>
      </c>
      <c r="F626" s="1" t="s">
        <v>245</v>
      </c>
      <c r="G626" s="1" t="s">
        <v>246</v>
      </c>
    </row>
    <row r="627" spans="1:7" x14ac:dyDescent="0.25">
      <c r="A627" s="1" t="s">
        <v>758</v>
      </c>
      <c r="B627" s="1" t="s">
        <v>243</v>
      </c>
      <c r="C627" s="1" t="s">
        <v>19</v>
      </c>
      <c r="D627" s="1" t="s">
        <v>14</v>
      </c>
      <c r="E627" s="1" t="s">
        <v>15</v>
      </c>
      <c r="F627" s="1" t="s">
        <v>245</v>
      </c>
      <c r="G627" s="1" t="s">
        <v>246</v>
      </c>
    </row>
    <row r="628" spans="1:7" x14ac:dyDescent="0.25">
      <c r="A628" s="1" t="s">
        <v>759</v>
      </c>
      <c r="B628" s="1" t="s">
        <v>243</v>
      </c>
      <c r="C628" s="1" t="s">
        <v>19</v>
      </c>
      <c r="D628" s="1" t="s">
        <v>14</v>
      </c>
      <c r="E628" s="1" t="s">
        <v>15</v>
      </c>
      <c r="F628" s="1" t="s">
        <v>245</v>
      </c>
      <c r="G628" s="1" t="s">
        <v>246</v>
      </c>
    </row>
    <row r="629" spans="1:7" x14ac:dyDescent="0.25">
      <c r="A629" s="1" t="s">
        <v>760</v>
      </c>
      <c r="B629" s="1" t="s">
        <v>243</v>
      </c>
      <c r="C629" s="1" t="s">
        <v>19</v>
      </c>
      <c r="D629" s="1" t="s">
        <v>14</v>
      </c>
      <c r="E629" s="1" t="s">
        <v>15</v>
      </c>
      <c r="F629" s="1" t="s">
        <v>245</v>
      </c>
      <c r="G629" s="1" t="s">
        <v>246</v>
      </c>
    </row>
    <row r="630" spans="1:7" x14ac:dyDescent="0.25">
      <c r="A630" s="1" t="s">
        <v>761</v>
      </c>
      <c r="B630" s="1" t="s">
        <v>243</v>
      </c>
      <c r="C630" s="1" t="s">
        <v>19</v>
      </c>
      <c r="D630" s="1" t="s">
        <v>273</v>
      </c>
      <c r="E630" s="1" t="s">
        <v>15</v>
      </c>
      <c r="F630" s="1" t="s">
        <v>245</v>
      </c>
      <c r="G630" s="1" t="s">
        <v>246</v>
      </c>
    </row>
    <row r="631" spans="1:7" x14ac:dyDescent="0.25">
      <c r="A631" s="1" t="s">
        <v>762</v>
      </c>
      <c r="B631" s="1" t="s">
        <v>243</v>
      </c>
      <c r="C631" s="1" t="s">
        <v>19</v>
      </c>
      <c r="D631" s="1" t="s">
        <v>14</v>
      </c>
      <c r="E631" s="1" t="s">
        <v>15</v>
      </c>
      <c r="F631" s="1" t="s">
        <v>245</v>
      </c>
      <c r="G631" s="1" t="s">
        <v>246</v>
      </c>
    </row>
    <row r="632" spans="1:7" x14ac:dyDescent="0.25">
      <c r="A632" s="1" t="s">
        <v>763</v>
      </c>
      <c r="B632" s="1" t="s">
        <v>243</v>
      </c>
      <c r="C632" s="1" t="s">
        <v>19</v>
      </c>
      <c r="D632" s="1" t="s">
        <v>14</v>
      </c>
      <c r="E632" s="1" t="s">
        <v>15</v>
      </c>
      <c r="F632" s="1" t="s">
        <v>245</v>
      </c>
      <c r="G632" s="1" t="s">
        <v>246</v>
      </c>
    </row>
    <row r="633" spans="1:7" x14ac:dyDescent="0.25">
      <c r="A633" s="1" t="s">
        <v>764</v>
      </c>
      <c r="B633" s="1" t="s">
        <v>243</v>
      </c>
      <c r="C633" s="1" t="s">
        <v>19</v>
      </c>
      <c r="D633" s="1" t="s">
        <v>14</v>
      </c>
      <c r="E633" s="1" t="s">
        <v>15</v>
      </c>
      <c r="F633" s="1" t="s">
        <v>245</v>
      </c>
      <c r="G633" s="1" t="s">
        <v>246</v>
      </c>
    </row>
    <row r="634" spans="1:7" x14ac:dyDescent="0.25">
      <c r="A634" s="1" t="s">
        <v>765</v>
      </c>
      <c r="B634" s="1" t="s">
        <v>243</v>
      </c>
      <c r="C634" s="1" t="s">
        <v>19</v>
      </c>
      <c r="D634" s="1" t="s">
        <v>14</v>
      </c>
      <c r="E634" s="1" t="s">
        <v>15</v>
      </c>
      <c r="F634" s="1" t="s">
        <v>245</v>
      </c>
      <c r="G634" s="1" t="s">
        <v>246</v>
      </c>
    </row>
    <row r="635" spans="1:7" x14ac:dyDescent="0.25">
      <c r="A635" s="1" t="s">
        <v>766</v>
      </c>
      <c r="B635" s="1" t="s">
        <v>243</v>
      </c>
      <c r="C635" s="1" t="s">
        <v>19</v>
      </c>
      <c r="D635" s="1" t="s">
        <v>14</v>
      </c>
      <c r="E635" s="1" t="s">
        <v>15</v>
      </c>
      <c r="F635" s="1" t="s">
        <v>245</v>
      </c>
      <c r="G635" s="1" t="s">
        <v>246</v>
      </c>
    </row>
    <row r="636" spans="1:7" x14ac:dyDescent="0.25">
      <c r="A636" s="1" t="s">
        <v>767</v>
      </c>
      <c r="B636" s="1" t="s">
        <v>243</v>
      </c>
      <c r="C636" s="1" t="s">
        <v>19</v>
      </c>
      <c r="D636" s="1" t="s">
        <v>14</v>
      </c>
      <c r="E636" s="1" t="s">
        <v>15</v>
      </c>
      <c r="F636" s="1" t="s">
        <v>245</v>
      </c>
      <c r="G636" s="1" t="s">
        <v>246</v>
      </c>
    </row>
    <row r="637" spans="1:7" x14ac:dyDescent="0.25">
      <c r="A637" s="1" t="s">
        <v>768</v>
      </c>
      <c r="B637" s="1" t="s">
        <v>243</v>
      </c>
      <c r="C637" s="1" t="s">
        <v>64</v>
      </c>
      <c r="D637" s="1" t="s">
        <v>14</v>
      </c>
      <c r="E637" s="1" t="s">
        <v>15</v>
      </c>
      <c r="F637" s="1" t="s">
        <v>245</v>
      </c>
      <c r="G637" s="1" t="s">
        <v>246</v>
      </c>
    </row>
    <row r="638" spans="1:7" x14ac:dyDescent="0.25">
      <c r="A638" s="1" t="s">
        <v>769</v>
      </c>
      <c r="B638" s="1" t="s">
        <v>243</v>
      </c>
      <c r="C638" s="1" t="s">
        <v>64</v>
      </c>
      <c r="D638" s="1" t="s">
        <v>14</v>
      </c>
      <c r="E638" s="1" t="s">
        <v>15</v>
      </c>
      <c r="F638" s="1" t="s">
        <v>245</v>
      </c>
      <c r="G638" s="1" t="s">
        <v>246</v>
      </c>
    </row>
    <row r="639" spans="1:7" x14ac:dyDescent="0.25">
      <c r="A639" s="1" t="s">
        <v>770</v>
      </c>
      <c r="B639" s="1" t="s">
        <v>243</v>
      </c>
      <c r="C639" s="1" t="s">
        <v>237</v>
      </c>
      <c r="D639" s="1" t="s">
        <v>14</v>
      </c>
      <c r="E639" s="1" t="s">
        <v>15</v>
      </c>
      <c r="F639" s="1" t="s">
        <v>245</v>
      </c>
      <c r="G639" s="1" t="s">
        <v>246</v>
      </c>
    </row>
    <row r="640" spans="1:7" x14ac:dyDescent="0.25">
      <c r="A640" s="1" t="s">
        <v>771</v>
      </c>
      <c r="B640" s="1" t="s">
        <v>243</v>
      </c>
      <c r="C640" s="1" t="s">
        <v>237</v>
      </c>
      <c r="D640" s="1" t="s">
        <v>14</v>
      </c>
      <c r="E640" s="1" t="s">
        <v>15</v>
      </c>
      <c r="F640" s="1" t="s">
        <v>245</v>
      </c>
      <c r="G640" s="1" t="s">
        <v>246</v>
      </c>
    </row>
    <row r="641" spans="1:7" x14ac:dyDescent="0.25">
      <c r="A641" s="1" t="s">
        <v>772</v>
      </c>
      <c r="B641" s="1" t="s">
        <v>243</v>
      </c>
      <c r="C641" s="1" t="s">
        <v>237</v>
      </c>
      <c r="D641" s="1" t="s">
        <v>14</v>
      </c>
      <c r="E641" s="1" t="s">
        <v>15</v>
      </c>
      <c r="F641" s="1" t="s">
        <v>245</v>
      </c>
      <c r="G641" s="1" t="s">
        <v>246</v>
      </c>
    </row>
    <row r="642" spans="1:7" x14ac:dyDescent="0.25">
      <c r="A642" s="1" t="s">
        <v>773</v>
      </c>
      <c r="B642" s="1" t="s">
        <v>243</v>
      </c>
      <c r="C642" s="1" t="s">
        <v>165</v>
      </c>
      <c r="D642" s="1" t="s">
        <v>14</v>
      </c>
      <c r="E642" s="1" t="s">
        <v>15</v>
      </c>
      <c r="F642" s="1" t="s">
        <v>245</v>
      </c>
      <c r="G642" s="1" t="s">
        <v>246</v>
      </c>
    </row>
    <row r="643" spans="1:7" x14ac:dyDescent="0.25">
      <c r="A643" s="1" t="s">
        <v>774</v>
      </c>
      <c r="B643" s="1" t="s">
        <v>243</v>
      </c>
      <c r="C643" s="1" t="s">
        <v>13</v>
      </c>
      <c r="D643" s="1" t="s">
        <v>14</v>
      </c>
      <c r="E643" s="1" t="s">
        <v>15</v>
      </c>
      <c r="F643" s="1" t="s">
        <v>245</v>
      </c>
      <c r="G643" s="1" t="s">
        <v>339</v>
      </c>
    </row>
    <row r="644" spans="1:7" x14ac:dyDescent="0.25">
      <c r="A644" s="1" t="s">
        <v>775</v>
      </c>
      <c r="B644" s="1" t="s">
        <v>243</v>
      </c>
      <c r="C644" s="1" t="s">
        <v>307</v>
      </c>
      <c r="D644" s="1" t="s">
        <v>14</v>
      </c>
      <c r="E644" s="1" t="s">
        <v>15</v>
      </c>
      <c r="F644" s="1" t="s">
        <v>245</v>
      </c>
      <c r="G644" s="1" t="s">
        <v>246</v>
      </c>
    </row>
    <row r="645" spans="1:7" x14ac:dyDescent="0.25">
      <c r="A645" s="1" t="s">
        <v>776</v>
      </c>
      <c r="B645" s="1" t="s">
        <v>243</v>
      </c>
      <c r="C645" s="1" t="s">
        <v>188</v>
      </c>
      <c r="D645" s="1" t="s">
        <v>14</v>
      </c>
      <c r="E645" s="1" t="s">
        <v>15</v>
      </c>
      <c r="F645" s="1" t="s">
        <v>245</v>
      </c>
      <c r="G645" s="1" t="s">
        <v>339</v>
      </c>
    </row>
    <row r="646" spans="1:7" x14ac:dyDescent="0.25">
      <c r="A646" s="1" t="s">
        <v>777</v>
      </c>
      <c r="B646" s="1" t="s">
        <v>243</v>
      </c>
      <c r="C646" s="1" t="s">
        <v>353</v>
      </c>
      <c r="D646" s="1" t="s">
        <v>14</v>
      </c>
      <c r="E646" s="1" t="s">
        <v>15</v>
      </c>
      <c r="F646" s="1" t="s">
        <v>245</v>
      </c>
      <c r="G646" s="1" t="s">
        <v>339</v>
      </c>
    </row>
    <row r="647" spans="1:7" x14ac:dyDescent="0.25">
      <c r="A647" s="1" t="s">
        <v>778</v>
      </c>
      <c r="B647" s="1" t="s">
        <v>297</v>
      </c>
      <c r="C647" s="1" t="s">
        <v>13</v>
      </c>
      <c r="D647" s="1" t="s">
        <v>14</v>
      </c>
      <c r="E647" s="1" t="s">
        <v>15</v>
      </c>
      <c r="F647" s="1" t="s">
        <v>298</v>
      </c>
      <c r="G647" s="1"/>
    </row>
    <row r="648" spans="1:7" x14ac:dyDescent="0.25">
      <c r="A648" s="1" t="s">
        <v>779</v>
      </c>
      <c r="B648" s="1" t="s">
        <v>297</v>
      </c>
      <c r="C648" s="1" t="s">
        <v>13</v>
      </c>
      <c r="D648" s="1" t="s">
        <v>14</v>
      </c>
      <c r="E648" s="1" t="s">
        <v>15</v>
      </c>
      <c r="F648" s="1" t="s">
        <v>298</v>
      </c>
      <c r="G648" s="1"/>
    </row>
    <row r="649" spans="1:7" x14ac:dyDescent="0.25">
      <c r="A649" s="1" t="s">
        <v>780</v>
      </c>
      <c r="B649" s="1" t="s">
        <v>781</v>
      </c>
      <c r="C649" s="1" t="s">
        <v>13</v>
      </c>
      <c r="D649" s="1" t="s">
        <v>14</v>
      </c>
      <c r="E649" s="1" t="s">
        <v>15</v>
      </c>
      <c r="F649" s="1" t="s">
        <v>782</v>
      </c>
      <c r="G649" s="1"/>
    </row>
    <row r="650" spans="1:7" x14ac:dyDescent="0.25">
      <c r="A650" s="1" t="s">
        <v>222</v>
      </c>
      <c r="B650" s="1" t="s">
        <v>567</v>
      </c>
      <c r="C650" s="1" t="s">
        <v>222</v>
      </c>
      <c r="D650" s="1" t="s">
        <v>14</v>
      </c>
      <c r="E650" s="1" t="s">
        <v>15</v>
      </c>
      <c r="F650" s="1" t="s">
        <v>568</v>
      </c>
      <c r="G650" s="1"/>
    </row>
    <row r="651" spans="1:7" x14ac:dyDescent="0.25">
      <c r="A651" s="1" t="s">
        <v>222</v>
      </c>
      <c r="B651" s="1" t="s">
        <v>205</v>
      </c>
      <c r="C651" s="1" t="s">
        <v>222</v>
      </c>
      <c r="D651" s="1" t="s">
        <v>14</v>
      </c>
      <c r="E651" s="1" t="s">
        <v>15</v>
      </c>
      <c r="F651" s="1" t="s">
        <v>570</v>
      </c>
      <c r="G651" s="1"/>
    </row>
    <row r="652" spans="1:7" x14ac:dyDescent="0.25">
      <c r="A652" s="1" t="s">
        <v>222</v>
      </c>
      <c r="B652" s="1" t="s">
        <v>312</v>
      </c>
      <c r="C652" s="1" t="s">
        <v>222</v>
      </c>
      <c r="D652" s="1" t="s">
        <v>14</v>
      </c>
      <c r="E652" s="1" t="s">
        <v>15</v>
      </c>
      <c r="F652" s="1" t="s">
        <v>313</v>
      </c>
      <c r="G652" s="1"/>
    </row>
    <row r="653" spans="1:7" x14ac:dyDescent="0.25">
      <c r="A653" s="1" t="s">
        <v>222</v>
      </c>
      <c r="B653" s="1" t="s">
        <v>243</v>
      </c>
      <c r="C653" s="1" t="s">
        <v>222</v>
      </c>
      <c r="D653" s="1" t="s">
        <v>14</v>
      </c>
      <c r="E653" s="1" t="s">
        <v>15</v>
      </c>
      <c r="F653" s="1" t="s">
        <v>245</v>
      </c>
      <c r="G653" s="1" t="s">
        <v>339</v>
      </c>
    </row>
    <row r="654" spans="1:7" x14ac:dyDescent="0.25">
      <c r="A654" s="1" t="s">
        <v>222</v>
      </c>
      <c r="B654" s="1" t="s">
        <v>81</v>
      </c>
      <c r="C654" s="1" t="s">
        <v>222</v>
      </c>
      <c r="D654" s="1" t="s">
        <v>14</v>
      </c>
      <c r="E654" s="1" t="s">
        <v>15</v>
      </c>
      <c r="F654" s="1" t="s">
        <v>584</v>
      </c>
      <c r="G654" s="1"/>
    </row>
    <row r="655" spans="1:7" x14ac:dyDescent="0.25">
      <c r="A655" s="1" t="s">
        <v>223</v>
      </c>
      <c r="B655" s="1" t="s">
        <v>585</v>
      </c>
      <c r="C655" s="1" t="s">
        <v>222</v>
      </c>
      <c r="D655" s="1" t="s">
        <v>14</v>
      </c>
      <c r="E655" s="1" t="s">
        <v>15</v>
      </c>
      <c r="F655" s="1" t="s">
        <v>586</v>
      </c>
      <c r="G655" s="1" t="s">
        <v>587</v>
      </c>
    </row>
    <row r="656" spans="1:7" x14ac:dyDescent="0.25">
      <c r="A656" s="1" t="s">
        <v>155</v>
      </c>
      <c r="B656" s="1" t="s">
        <v>91</v>
      </c>
      <c r="C656" s="1" t="s">
        <v>13</v>
      </c>
      <c r="D656" s="1" t="s">
        <v>14</v>
      </c>
      <c r="E656" s="1" t="s">
        <v>15</v>
      </c>
      <c r="F656" s="1" t="s">
        <v>330</v>
      </c>
      <c r="G656" s="1" t="s">
        <v>90</v>
      </c>
    </row>
    <row r="657" spans="1:7" x14ac:dyDescent="0.25">
      <c r="A657" s="1" t="s">
        <v>783</v>
      </c>
      <c r="B657" s="1" t="s">
        <v>342</v>
      </c>
      <c r="C657" s="1" t="s">
        <v>201</v>
      </c>
      <c r="D657" s="1" t="s">
        <v>14</v>
      </c>
      <c r="E657" s="1" t="s">
        <v>15</v>
      </c>
      <c r="F657" s="1" t="s">
        <v>343</v>
      </c>
      <c r="G657" s="1"/>
    </row>
    <row r="658" spans="1:7" x14ac:dyDescent="0.25">
      <c r="A658" s="1" t="s">
        <v>784</v>
      </c>
      <c r="B658" s="1" t="s">
        <v>258</v>
      </c>
      <c r="C658" s="1" t="s">
        <v>21</v>
      </c>
      <c r="D658" s="1" t="s">
        <v>14</v>
      </c>
      <c r="E658" s="1" t="s">
        <v>15</v>
      </c>
      <c r="F658" s="1" t="s">
        <v>259</v>
      </c>
      <c r="G658" s="1" t="s">
        <v>255</v>
      </c>
    </row>
    <row r="659" spans="1:7" x14ac:dyDescent="0.25">
      <c r="A659" s="1" t="s">
        <v>785</v>
      </c>
      <c r="B659" s="1" t="s">
        <v>243</v>
      </c>
      <c r="C659" s="1" t="s">
        <v>786</v>
      </c>
      <c r="D659" s="1" t="s">
        <v>14</v>
      </c>
      <c r="E659" s="1" t="s">
        <v>15</v>
      </c>
      <c r="F659" s="1" t="s">
        <v>245</v>
      </c>
      <c r="G659" s="1" t="s">
        <v>339</v>
      </c>
    </row>
    <row r="660" spans="1:7" x14ac:dyDescent="0.25">
      <c r="A660" s="1" t="s">
        <v>177</v>
      </c>
      <c r="B660" s="1" t="s">
        <v>81</v>
      </c>
      <c r="C660" s="1" t="s">
        <v>178</v>
      </c>
      <c r="D660" s="1" t="s">
        <v>14</v>
      </c>
      <c r="E660" s="1" t="s">
        <v>15</v>
      </c>
      <c r="F660" s="1" t="s">
        <v>584</v>
      </c>
      <c r="G660" s="1"/>
    </row>
    <row r="661" spans="1:7" x14ac:dyDescent="0.25">
      <c r="A661" s="1" t="s">
        <v>225</v>
      </c>
      <c r="B661" s="1" t="s">
        <v>205</v>
      </c>
      <c r="C661" s="1" t="s">
        <v>178</v>
      </c>
      <c r="D661" s="1" t="s">
        <v>14</v>
      </c>
      <c r="E661" s="1" t="s">
        <v>15</v>
      </c>
      <c r="F661" s="1" t="s">
        <v>570</v>
      </c>
      <c r="G661" s="1"/>
    </row>
    <row r="662" spans="1:7" x14ac:dyDescent="0.25">
      <c r="A662" s="1" t="s">
        <v>787</v>
      </c>
      <c r="B662" s="1" t="s">
        <v>567</v>
      </c>
      <c r="C662" s="1" t="s">
        <v>178</v>
      </c>
      <c r="D662" s="1" t="s">
        <v>14</v>
      </c>
      <c r="E662" s="1" t="s">
        <v>15</v>
      </c>
      <c r="F662" s="1" t="s">
        <v>568</v>
      </c>
      <c r="G662" s="1"/>
    </row>
    <row r="663" spans="1:7" x14ac:dyDescent="0.25">
      <c r="A663" s="1" t="s">
        <v>226</v>
      </c>
      <c r="B663" s="1" t="s">
        <v>585</v>
      </c>
      <c r="C663" s="1" t="s">
        <v>178</v>
      </c>
      <c r="D663" s="1" t="s">
        <v>14</v>
      </c>
      <c r="E663" s="1" t="s">
        <v>15</v>
      </c>
      <c r="F663" s="1" t="s">
        <v>586</v>
      </c>
      <c r="G663" s="1" t="s">
        <v>587</v>
      </c>
    </row>
    <row r="664" spans="1:7" x14ac:dyDescent="0.25">
      <c r="A664" s="1" t="s">
        <v>175</v>
      </c>
      <c r="B664" s="1" t="s">
        <v>788</v>
      </c>
      <c r="C664" s="1" t="s">
        <v>178</v>
      </c>
      <c r="D664" s="1" t="s">
        <v>14</v>
      </c>
      <c r="E664" s="1" t="s">
        <v>15</v>
      </c>
      <c r="F664" s="1" t="s">
        <v>789</v>
      </c>
      <c r="G664" s="1"/>
    </row>
    <row r="665" spans="1:7" x14ac:dyDescent="0.25">
      <c r="A665" s="1" t="s">
        <v>179</v>
      </c>
      <c r="B665" s="1" t="s">
        <v>788</v>
      </c>
      <c r="C665" s="1" t="s">
        <v>178</v>
      </c>
      <c r="D665" s="1" t="s">
        <v>14</v>
      </c>
      <c r="E665" s="1" t="s">
        <v>15</v>
      </c>
      <c r="F665" s="1" t="s">
        <v>789</v>
      </c>
      <c r="G665" s="1"/>
    </row>
    <row r="666" spans="1:7" x14ac:dyDescent="0.25">
      <c r="A666" s="1" t="s">
        <v>229</v>
      </c>
      <c r="B666" s="1" t="s">
        <v>790</v>
      </c>
      <c r="C666" s="1" t="s">
        <v>19</v>
      </c>
      <c r="D666" s="1" t="s">
        <v>14</v>
      </c>
      <c r="E666" s="1" t="s">
        <v>15</v>
      </c>
      <c r="F666" s="1" t="s">
        <v>791</v>
      </c>
      <c r="G666" s="1"/>
    </row>
    <row r="667" spans="1:7" x14ac:dyDescent="0.25">
      <c r="A667" s="1" t="s">
        <v>211</v>
      </c>
      <c r="B667" s="1" t="s">
        <v>790</v>
      </c>
      <c r="C667" s="1" t="s">
        <v>210</v>
      </c>
      <c r="D667" s="1" t="s">
        <v>24</v>
      </c>
      <c r="E667" s="1" t="s">
        <v>15</v>
      </c>
      <c r="F667" s="1" t="s">
        <v>791</v>
      </c>
      <c r="G667" s="1"/>
    </row>
    <row r="668" spans="1:7" x14ac:dyDescent="0.25">
      <c r="A668" s="1" t="s">
        <v>228</v>
      </c>
      <c r="B668" s="1" t="s">
        <v>205</v>
      </c>
      <c r="C668" s="1" t="s">
        <v>19</v>
      </c>
      <c r="D668" s="1" t="s">
        <v>14</v>
      </c>
      <c r="E668" s="1" t="s">
        <v>15</v>
      </c>
      <c r="F668" s="1" t="s">
        <v>570</v>
      </c>
      <c r="G668" s="1"/>
    </row>
    <row r="669" spans="1:7" x14ac:dyDescent="0.25">
      <c r="A669" s="1" t="s">
        <v>792</v>
      </c>
      <c r="B669" s="1" t="s">
        <v>258</v>
      </c>
      <c r="C669" s="1" t="s">
        <v>611</v>
      </c>
      <c r="D669" s="1" t="s">
        <v>14</v>
      </c>
      <c r="E669" s="1" t="s">
        <v>15</v>
      </c>
      <c r="F669" s="1" t="s">
        <v>259</v>
      </c>
      <c r="G669" s="1" t="s">
        <v>255</v>
      </c>
    </row>
    <row r="670" spans="1:7" x14ac:dyDescent="0.25">
      <c r="A670" s="1" t="s">
        <v>793</v>
      </c>
      <c r="B670" s="1" t="s">
        <v>258</v>
      </c>
      <c r="C670" s="1" t="s">
        <v>235</v>
      </c>
      <c r="D670" s="1" t="s">
        <v>14</v>
      </c>
      <c r="E670" s="1" t="s">
        <v>15</v>
      </c>
      <c r="F670" s="1" t="s">
        <v>259</v>
      </c>
      <c r="G670" s="1" t="s">
        <v>255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0CF7A-20C2-4D7A-88DC-848787A4E7DC}">
  <dimension ref="A1:G3"/>
  <sheetViews>
    <sheetView showGridLines="0" workbookViewId="0">
      <selection activeCell="D23" sqref="D23"/>
    </sheetView>
  </sheetViews>
  <sheetFormatPr baseColWidth="10" defaultRowHeight="15" x14ac:dyDescent="0.25"/>
  <cols>
    <col min="1" max="1" width="16.42578125" customWidth="1"/>
    <col min="2" max="2" width="5.7109375" customWidth="1"/>
    <col min="3" max="3" width="43" bestFit="1" customWidth="1"/>
    <col min="4" max="4" width="24.5703125" bestFit="1" customWidth="1"/>
    <col min="6" max="6" width="13.28515625" customWidth="1"/>
  </cols>
  <sheetData>
    <row r="1" spans="1:7" x14ac:dyDescent="0.25">
      <c r="A1" s="1" t="s">
        <v>0</v>
      </c>
      <c r="B1" s="1" t="s">
        <v>825</v>
      </c>
      <c r="C1" s="1" t="s">
        <v>830</v>
      </c>
      <c r="D1" s="1" t="s">
        <v>7</v>
      </c>
      <c r="E1" s="1" t="s">
        <v>3</v>
      </c>
      <c r="F1" s="1" t="s">
        <v>6</v>
      </c>
      <c r="G1" s="1" t="s">
        <v>831</v>
      </c>
    </row>
    <row r="2" spans="1:7" x14ac:dyDescent="0.25">
      <c r="A2" s="1" t="s">
        <v>705</v>
      </c>
      <c r="B2" s="1" t="s">
        <v>832</v>
      </c>
      <c r="C2" s="1" t="s">
        <v>833</v>
      </c>
      <c r="D2" s="1" t="s">
        <v>15</v>
      </c>
      <c r="E2" s="1" t="s">
        <v>834</v>
      </c>
      <c r="F2" s="1" t="s">
        <v>14</v>
      </c>
      <c r="G2" s="1" t="s">
        <v>182</v>
      </c>
    </row>
    <row r="3" spans="1:7" x14ac:dyDescent="0.25">
      <c r="A3" s="1" t="s">
        <v>708</v>
      </c>
      <c r="B3" s="1" t="s">
        <v>835</v>
      </c>
      <c r="C3" s="1" t="s">
        <v>836</v>
      </c>
      <c r="D3" s="1" t="s">
        <v>15</v>
      </c>
      <c r="E3" s="1" t="s">
        <v>834</v>
      </c>
      <c r="F3" s="1" t="s">
        <v>14</v>
      </c>
      <c r="G3" s="1" t="s">
        <v>204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4F925-84B0-4FAC-A873-8DCEFE8804D7}">
  <dimension ref="A1:H3"/>
  <sheetViews>
    <sheetView showGridLines="0" topLeftCell="A4" workbookViewId="0">
      <selection activeCell="D14" sqref="D14"/>
    </sheetView>
  </sheetViews>
  <sheetFormatPr baseColWidth="10" defaultRowHeight="15" x14ac:dyDescent="0.25"/>
  <cols>
    <col min="1" max="1" width="17.42578125" bestFit="1" customWidth="1"/>
    <col min="2" max="2" width="30.28515625" bestFit="1" customWidth="1"/>
    <col min="4" max="4" width="19" customWidth="1"/>
    <col min="5" max="5" width="12.28515625" customWidth="1"/>
    <col min="6" max="6" width="24.5703125" bestFit="1" customWidth="1"/>
    <col min="7" max="7" width="30.28515625" bestFit="1" customWidth="1"/>
    <col min="8" max="8" width="16.85546875" customWidth="1"/>
  </cols>
  <sheetData>
    <row r="1" spans="1:8" x14ac:dyDescent="0.25">
      <c r="A1" s="1" t="s">
        <v>0</v>
      </c>
      <c r="B1" s="1" t="s">
        <v>4</v>
      </c>
      <c r="C1" s="1" t="s">
        <v>3</v>
      </c>
      <c r="D1" s="1" t="s">
        <v>5</v>
      </c>
      <c r="E1" s="1" t="s">
        <v>6</v>
      </c>
      <c r="F1" s="1" t="s">
        <v>7</v>
      </c>
      <c r="G1" s="1" t="s">
        <v>795</v>
      </c>
      <c r="H1" s="1" t="s">
        <v>845</v>
      </c>
    </row>
    <row r="2" spans="1:8" x14ac:dyDescent="0.25">
      <c r="A2" s="1" t="s">
        <v>304</v>
      </c>
      <c r="B2" s="1" t="s">
        <v>305</v>
      </c>
      <c r="C2" s="1" t="s">
        <v>794</v>
      </c>
      <c r="D2" s="1" t="s">
        <v>19</v>
      </c>
      <c r="E2" s="1" t="s">
        <v>14</v>
      </c>
      <c r="F2" s="1" t="s">
        <v>15</v>
      </c>
      <c r="G2" s="1" t="s">
        <v>305</v>
      </c>
      <c r="H2" s="1" t="s">
        <v>844</v>
      </c>
    </row>
    <row r="3" spans="1:8" x14ac:dyDescent="0.25">
      <c r="A3" s="1" t="s">
        <v>309</v>
      </c>
      <c r="B3" s="1" t="s">
        <v>305</v>
      </c>
      <c r="C3" s="1" t="s">
        <v>794</v>
      </c>
      <c r="D3" s="1" t="s">
        <v>310</v>
      </c>
      <c r="E3" s="1" t="s">
        <v>14</v>
      </c>
      <c r="F3" s="1" t="s">
        <v>15</v>
      </c>
      <c r="G3" s="1" t="s">
        <v>305</v>
      </c>
      <c r="H3" s="1" t="s">
        <v>846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7C940-0E7E-4533-A5A1-C4C89BA1B818}">
  <dimension ref="A1:F67"/>
  <sheetViews>
    <sheetView showGridLines="0" topLeftCell="A10" workbookViewId="0">
      <selection activeCell="I15" sqref="I15"/>
    </sheetView>
  </sheetViews>
  <sheetFormatPr baseColWidth="10" defaultRowHeight="10.5" x14ac:dyDescent="0.15"/>
  <cols>
    <col min="1" max="1" width="41.42578125" style="1" bestFit="1" customWidth="1"/>
    <col min="2" max="3" width="11.42578125" style="1"/>
    <col min="4" max="4" width="12.7109375" style="1" customWidth="1"/>
    <col min="5" max="5" width="13.85546875" style="1" customWidth="1"/>
    <col min="6" max="6" width="27" style="1" customWidth="1"/>
    <col min="7" max="16384" width="11.42578125" style="1"/>
  </cols>
  <sheetData>
    <row r="1" spans="1:6" x14ac:dyDescent="0.15">
      <c r="A1" s="1" t="s">
        <v>0</v>
      </c>
      <c r="B1" s="1" t="s">
        <v>3</v>
      </c>
      <c r="C1" s="1" t="s">
        <v>6</v>
      </c>
      <c r="D1" s="1" t="s">
        <v>85</v>
      </c>
      <c r="E1" s="1" t="s">
        <v>4</v>
      </c>
      <c r="F1" s="1" t="s">
        <v>796</v>
      </c>
    </row>
    <row r="2" spans="1:6" x14ac:dyDescent="0.15">
      <c r="A2" s="1" t="s">
        <v>416</v>
      </c>
      <c r="B2" s="1" t="s">
        <v>798</v>
      </c>
      <c r="C2" s="1" t="s">
        <v>14</v>
      </c>
      <c r="D2" s="1" t="s">
        <v>182</v>
      </c>
      <c r="E2" s="1" t="s">
        <v>417</v>
      </c>
      <c r="F2" s="1" t="s">
        <v>607</v>
      </c>
    </row>
    <row r="3" spans="1:6" x14ac:dyDescent="0.15">
      <c r="A3" s="1" t="s">
        <v>418</v>
      </c>
      <c r="B3" s="1" t="s">
        <v>798</v>
      </c>
      <c r="C3" s="1" t="s">
        <v>14</v>
      </c>
      <c r="D3" s="1" t="s">
        <v>799</v>
      </c>
      <c r="E3" s="1" t="s">
        <v>417</v>
      </c>
      <c r="F3" s="1" t="s">
        <v>547</v>
      </c>
    </row>
    <row r="4" spans="1:6" x14ac:dyDescent="0.15">
      <c r="A4" s="1" t="s">
        <v>426</v>
      </c>
      <c r="B4" s="1" t="s">
        <v>798</v>
      </c>
      <c r="C4" s="1" t="s">
        <v>14</v>
      </c>
      <c r="D4" s="1" t="s">
        <v>799</v>
      </c>
      <c r="E4" s="1" t="s">
        <v>417</v>
      </c>
      <c r="F4" s="1" t="s">
        <v>284</v>
      </c>
    </row>
    <row r="5" spans="1:6" x14ac:dyDescent="0.15">
      <c r="A5" s="1" t="s">
        <v>427</v>
      </c>
      <c r="B5" s="1" t="s">
        <v>798</v>
      </c>
      <c r="C5" s="1" t="s">
        <v>14</v>
      </c>
      <c r="D5" s="1" t="s">
        <v>799</v>
      </c>
      <c r="E5" s="1" t="s">
        <v>417</v>
      </c>
      <c r="F5" s="1" t="s">
        <v>261</v>
      </c>
    </row>
    <row r="6" spans="1:6" x14ac:dyDescent="0.15">
      <c r="A6" s="1" t="s">
        <v>432</v>
      </c>
      <c r="B6" s="1" t="s">
        <v>798</v>
      </c>
      <c r="C6" s="1" t="s">
        <v>14</v>
      </c>
      <c r="D6" s="1" t="s">
        <v>799</v>
      </c>
      <c r="E6" s="1" t="s">
        <v>417</v>
      </c>
      <c r="F6" s="1" t="s">
        <v>283</v>
      </c>
    </row>
    <row r="7" spans="1:6" x14ac:dyDescent="0.15">
      <c r="A7" s="1" t="s">
        <v>433</v>
      </c>
      <c r="B7" s="1" t="s">
        <v>798</v>
      </c>
      <c r="C7" s="1" t="s">
        <v>24</v>
      </c>
      <c r="D7" s="1" t="s">
        <v>799</v>
      </c>
      <c r="E7" s="1" t="s">
        <v>417</v>
      </c>
      <c r="F7" s="1" t="s">
        <v>340</v>
      </c>
    </row>
    <row r="8" spans="1:6" x14ac:dyDescent="0.15">
      <c r="A8" s="1" t="s">
        <v>440</v>
      </c>
      <c r="B8" s="1" t="s">
        <v>798</v>
      </c>
      <c r="C8" s="1" t="s">
        <v>14</v>
      </c>
      <c r="D8" s="1" t="s">
        <v>799</v>
      </c>
      <c r="E8" s="1" t="s">
        <v>417</v>
      </c>
      <c r="F8" s="1" t="s">
        <v>263</v>
      </c>
    </row>
    <row r="9" spans="1:6" x14ac:dyDescent="0.15">
      <c r="A9" s="1" t="s">
        <v>441</v>
      </c>
      <c r="B9" s="1" t="s">
        <v>798</v>
      </c>
      <c r="C9" s="1" t="s">
        <v>14</v>
      </c>
      <c r="D9" s="1" t="s">
        <v>799</v>
      </c>
      <c r="E9" s="1" t="s">
        <v>417</v>
      </c>
      <c r="F9" s="1" t="s">
        <v>267</v>
      </c>
    </row>
    <row r="10" spans="1:6" x14ac:dyDescent="0.15">
      <c r="A10" s="1" t="s">
        <v>444</v>
      </c>
      <c r="B10" s="1" t="s">
        <v>798</v>
      </c>
      <c r="C10" s="1" t="s">
        <v>14</v>
      </c>
      <c r="D10" s="1" t="s">
        <v>799</v>
      </c>
      <c r="E10" s="1" t="s">
        <v>417</v>
      </c>
      <c r="F10" s="1" t="s">
        <v>281</v>
      </c>
    </row>
    <row r="11" spans="1:6" x14ac:dyDescent="0.15">
      <c r="A11" s="1" t="s">
        <v>446</v>
      </c>
      <c r="B11" s="1" t="s">
        <v>798</v>
      </c>
      <c r="C11" s="1" t="s">
        <v>14</v>
      </c>
      <c r="D11" s="1" t="s">
        <v>799</v>
      </c>
      <c r="E11" s="1" t="s">
        <v>417</v>
      </c>
      <c r="F11" s="1" t="s">
        <v>279</v>
      </c>
    </row>
    <row r="12" spans="1:6" x14ac:dyDescent="0.15">
      <c r="A12" s="1" t="s">
        <v>453</v>
      </c>
      <c r="B12" s="1" t="s">
        <v>798</v>
      </c>
      <c r="C12" s="1" t="s">
        <v>14</v>
      </c>
      <c r="D12" s="1" t="s">
        <v>182</v>
      </c>
      <c r="E12" s="1" t="s">
        <v>417</v>
      </c>
      <c r="F12" s="1" t="s">
        <v>607</v>
      </c>
    </row>
    <row r="13" spans="1:6" x14ac:dyDescent="0.15">
      <c r="A13" s="1" t="s">
        <v>458</v>
      </c>
      <c r="B13" s="1" t="s">
        <v>798</v>
      </c>
      <c r="C13" s="1" t="s">
        <v>24</v>
      </c>
      <c r="D13" s="1" t="s">
        <v>799</v>
      </c>
      <c r="E13" s="1" t="s">
        <v>417</v>
      </c>
      <c r="F13" s="1" t="s">
        <v>275</v>
      </c>
    </row>
    <row r="14" spans="1:6" x14ac:dyDescent="0.15">
      <c r="A14" s="1" t="s">
        <v>464</v>
      </c>
      <c r="B14" s="1" t="s">
        <v>798</v>
      </c>
      <c r="C14" s="1" t="s">
        <v>14</v>
      </c>
      <c r="D14" s="1" t="s">
        <v>801</v>
      </c>
      <c r="E14" s="1" t="s">
        <v>417</v>
      </c>
      <c r="F14" s="1" t="s">
        <v>578</v>
      </c>
    </row>
    <row r="15" spans="1:6" x14ac:dyDescent="0.15">
      <c r="A15" s="1" t="s">
        <v>469</v>
      </c>
      <c r="B15" s="1" t="s">
        <v>798</v>
      </c>
      <c r="C15" s="1" t="s">
        <v>14</v>
      </c>
      <c r="D15" s="1" t="s">
        <v>799</v>
      </c>
      <c r="E15" s="1" t="s">
        <v>417</v>
      </c>
      <c r="F15" s="1" t="s">
        <v>257</v>
      </c>
    </row>
    <row r="16" spans="1:6" x14ac:dyDescent="0.15">
      <c r="A16" s="1" t="s">
        <v>470</v>
      </c>
      <c r="B16" s="1" t="s">
        <v>798</v>
      </c>
      <c r="C16" s="1" t="s">
        <v>14</v>
      </c>
      <c r="D16" s="1" t="s">
        <v>799</v>
      </c>
      <c r="E16" s="1" t="s">
        <v>417</v>
      </c>
      <c r="F16" s="1" t="s">
        <v>280</v>
      </c>
    </row>
    <row r="17" spans="1:6" x14ac:dyDescent="0.15">
      <c r="A17" s="1" t="s">
        <v>471</v>
      </c>
      <c r="B17" s="1" t="s">
        <v>798</v>
      </c>
      <c r="C17" s="1" t="s">
        <v>14</v>
      </c>
      <c r="D17" s="1" t="s">
        <v>799</v>
      </c>
      <c r="E17" s="1" t="s">
        <v>417</v>
      </c>
      <c r="F17" s="1" t="s">
        <v>264</v>
      </c>
    </row>
    <row r="18" spans="1:6" x14ac:dyDescent="0.15">
      <c r="A18" s="1" t="s">
        <v>474</v>
      </c>
      <c r="B18" s="1" t="s">
        <v>798</v>
      </c>
      <c r="C18" s="1" t="s">
        <v>14</v>
      </c>
      <c r="D18" s="1" t="s">
        <v>801</v>
      </c>
      <c r="E18" s="1" t="s">
        <v>417</v>
      </c>
      <c r="F18" s="1" t="s">
        <v>793</v>
      </c>
    </row>
    <row r="19" spans="1:6" x14ac:dyDescent="0.15">
      <c r="A19" s="1" t="s">
        <v>476</v>
      </c>
      <c r="B19" s="1" t="s">
        <v>798</v>
      </c>
      <c r="C19" s="1" t="s">
        <v>14</v>
      </c>
      <c r="D19" s="1" t="s">
        <v>799</v>
      </c>
      <c r="E19" s="1" t="s">
        <v>417</v>
      </c>
      <c r="F19" s="1" t="s">
        <v>278</v>
      </c>
    </row>
    <row r="20" spans="1:6" x14ac:dyDescent="0.15">
      <c r="A20" s="1" t="s">
        <v>499</v>
      </c>
      <c r="B20" s="1" t="s">
        <v>798</v>
      </c>
      <c r="C20" s="1" t="s">
        <v>14</v>
      </c>
      <c r="D20" s="1" t="s">
        <v>182</v>
      </c>
      <c r="E20" s="1" t="s">
        <v>417</v>
      </c>
      <c r="F20" s="1" t="s">
        <v>607</v>
      </c>
    </row>
    <row r="21" spans="1:6" x14ac:dyDescent="0.15">
      <c r="A21" s="1" t="s">
        <v>500</v>
      </c>
      <c r="B21" s="1" t="s">
        <v>798</v>
      </c>
      <c r="C21" s="1" t="s">
        <v>14</v>
      </c>
      <c r="D21" s="1" t="s">
        <v>799</v>
      </c>
      <c r="E21" s="1" t="s">
        <v>417</v>
      </c>
      <c r="F21" s="1" t="s">
        <v>269</v>
      </c>
    </row>
    <row r="22" spans="1:6" x14ac:dyDescent="0.15">
      <c r="A22" s="1" t="s">
        <v>558</v>
      </c>
      <c r="B22" s="1" t="s">
        <v>798</v>
      </c>
      <c r="C22" s="1" t="s">
        <v>24</v>
      </c>
      <c r="D22" s="1" t="s">
        <v>799</v>
      </c>
      <c r="E22" s="1" t="s">
        <v>417</v>
      </c>
      <c r="F22" s="1" t="s">
        <v>340</v>
      </c>
    </row>
    <row r="23" spans="1:6" x14ac:dyDescent="0.15">
      <c r="A23" s="1" t="s">
        <v>657</v>
      </c>
      <c r="B23" s="1" t="s">
        <v>798</v>
      </c>
      <c r="C23" s="1" t="s">
        <v>14</v>
      </c>
      <c r="D23" s="1" t="s">
        <v>799</v>
      </c>
      <c r="E23" s="1" t="s">
        <v>417</v>
      </c>
      <c r="F23" s="1" t="s">
        <v>288</v>
      </c>
    </row>
    <row r="24" spans="1:6" x14ac:dyDescent="0.15">
      <c r="A24" s="1" t="s">
        <v>660</v>
      </c>
      <c r="B24" s="1" t="s">
        <v>798</v>
      </c>
      <c r="C24" s="1" t="s">
        <v>14</v>
      </c>
      <c r="D24" s="1" t="s">
        <v>182</v>
      </c>
      <c r="E24" s="1" t="s">
        <v>417</v>
      </c>
      <c r="F24" s="1" t="s">
        <v>784</v>
      </c>
    </row>
    <row r="25" spans="1:6" x14ac:dyDescent="0.15">
      <c r="A25" s="1" t="s">
        <v>661</v>
      </c>
      <c r="B25" s="1" t="s">
        <v>798</v>
      </c>
      <c r="C25" s="1" t="s">
        <v>14</v>
      </c>
      <c r="D25" s="1" t="s">
        <v>799</v>
      </c>
      <c r="E25" s="1" t="s">
        <v>417</v>
      </c>
      <c r="F25" s="1" t="s">
        <v>291</v>
      </c>
    </row>
    <row r="26" spans="1:6" x14ac:dyDescent="0.15">
      <c r="A26" s="1" t="s">
        <v>662</v>
      </c>
      <c r="B26" s="1" t="s">
        <v>798</v>
      </c>
      <c r="C26" s="1" t="s">
        <v>14</v>
      </c>
      <c r="D26" s="1" t="s">
        <v>799</v>
      </c>
      <c r="E26" s="1" t="s">
        <v>417</v>
      </c>
      <c r="F26" s="1" t="s">
        <v>292</v>
      </c>
    </row>
    <row r="27" spans="1:6" x14ac:dyDescent="0.15">
      <c r="A27" s="1" t="s">
        <v>663</v>
      </c>
      <c r="B27" s="1" t="s">
        <v>798</v>
      </c>
      <c r="C27" s="1" t="s">
        <v>14</v>
      </c>
      <c r="D27" s="1" t="s">
        <v>799</v>
      </c>
      <c r="E27" s="1" t="s">
        <v>417</v>
      </c>
      <c r="F27" s="1" t="s">
        <v>547</v>
      </c>
    </row>
    <row r="28" spans="1:6" x14ac:dyDescent="0.15">
      <c r="A28" s="1" t="s">
        <v>664</v>
      </c>
      <c r="B28" s="1" t="s">
        <v>798</v>
      </c>
      <c r="C28" s="1" t="s">
        <v>14</v>
      </c>
      <c r="D28" s="1" t="s">
        <v>801</v>
      </c>
      <c r="E28" s="1" t="s">
        <v>417</v>
      </c>
      <c r="F28" s="1" t="s">
        <v>604</v>
      </c>
    </row>
    <row r="29" spans="1:6" x14ac:dyDescent="0.15">
      <c r="A29" s="1" t="s">
        <v>665</v>
      </c>
      <c r="B29" s="1" t="s">
        <v>798</v>
      </c>
      <c r="C29" s="1" t="s">
        <v>14</v>
      </c>
      <c r="D29" s="1" t="s">
        <v>799</v>
      </c>
      <c r="E29" s="1" t="s">
        <v>417</v>
      </c>
      <c r="F29" s="1" t="s">
        <v>547</v>
      </c>
    </row>
    <row r="30" spans="1:6" x14ac:dyDescent="0.15">
      <c r="A30" s="1" t="s">
        <v>666</v>
      </c>
      <c r="B30" s="1" t="s">
        <v>798</v>
      </c>
      <c r="C30" s="1" t="s">
        <v>14</v>
      </c>
      <c r="D30" s="1" t="s">
        <v>799</v>
      </c>
      <c r="E30" s="1" t="s">
        <v>417</v>
      </c>
      <c r="F30" s="1" t="s">
        <v>547</v>
      </c>
    </row>
    <row r="31" spans="1:6" x14ac:dyDescent="0.15">
      <c r="A31" s="1" t="s">
        <v>667</v>
      </c>
      <c r="B31" s="1" t="s">
        <v>798</v>
      </c>
      <c r="C31" s="1" t="s">
        <v>14</v>
      </c>
      <c r="D31" s="1" t="s">
        <v>801</v>
      </c>
      <c r="E31" s="1" t="s">
        <v>417</v>
      </c>
      <c r="F31" s="1" t="s">
        <v>604</v>
      </c>
    </row>
    <row r="32" spans="1:6" x14ac:dyDescent="0.15">
      <c r="A32" s="1" t="s">
        <v>668</v>
      </c>
      <c r="B32" s="1" t="s">
        <v>798</v>
      </c>
      <c r="C32" s="1" t="s">
        <v>14</v>
      </c>
      <c r="D32" s="1" t="s">
        <v>799</v>
      </c>
      <c r="E32" s="1" t="s">
        <v>417</v>
      </c>
      <c r="F32" s="1" t="s">
        <v>295</v>
      </c>
    </row>
    <row r="33" spans="1:6" x14ac:dyDescent="0.15">
      <c r="A33" s="1" t="s">
        <v>669</v>
      </c>
      <c r="B33" s="1" t="s">
        <v>798</v>
      </c>
      <c r="C33" s="1" t="s">
        <v>14</v>
      </c>
      <c r="D33" s="1" t="s">
        <v>801</v>
      </c>
      <c r="E33" s="1" t="s">
        <v>417</v>
      </c>
      <c r="F33" s="1" t="s">
        <v>604</v>
      </c>
    </row>
    <row r="34" spans="1:6" x14ac:dyDescent="0.15">
      <c r="A34" s="1" t="s">
        <v>670</v>
      </c>
      <c r="B34" s="1" t="s">
        <v>798</v>
      </c>
      <c r="C34" s="1" t="s">
        <v>14</v>
      </c>
      <c r="D34" s="1" t="s">
        <v>799</v>
      </c>
      <c r="E34" s="1" t="s">
        <v>417</v>
      </c>
      <c r="F34" s="1" t="s">
        <v>294</v>
      </c>
    </row>
    <row r="35" spans="1:6" x14ac:dyDescent="0.15">
      <c r="A35" s="1" t="s">
        <v>672</v>
      </c>
      <c r="B35" s="1" t="s">
        <v>798</v>
      </c>
      <c r="C35" s="1" t="s">
        <v>14</v>
      </c>
      <c r="D35" s="1" t="s">
        <v>801</v>
      </c>
      <c r="E35" s="1" t="s">
        <v>417</v>
      </c>
      <c r="F35" s="1" t="s">
        <v>604</v>
      </c>
    </row>
    <row r="36" spans="1:6" x14ac:dyDescent="0.15">
      <c r="A36" s="1" t="s">
        <v>676</v>
      </c>
      <c r="B36" s="1" t="s">
        <v>798</v>
      </c>
      <c r="C36" s="1" t="s">
        <v>14</v>
      </c>
      <c r="D36" s="1" t="s">
        <v>799</v>
      </c>
      <c r="E36" s="1" t="s">
        <v>417</v>
      </c>
      <c r="F36" s="1" t="s">
        <v>293</v>
      </c>
    </row>
    <row r="37" spans="1:6" x14ac:dyDescent="0.15">
      <c r="A37" s="1" t="s">
        <v>677</v>
      </c>
      <c r="B37" s="1" t="s">
        <v>798</v>
      </c>
      <c r="C37" s="1" t="s">
        <v>14</v>
      </c>
      <c r="D37" s="1" t="s">
        <v>801</v>
      </c>
      <c r="E37" s="1" t="s">
        <v>417</v>
      </c>
      <c r="F37" s="1" t="s">
        <v>604</v>
      </c>
    </row>
    <row r="38" spans="1:6" x14ac:dyDescent="0.15">
      <c r="A38" s="1" t="s">
        <v>678</v>
      </c>
      <c r="B38" s="1" t="s">
        <v>798</v>
      </c>
      <c r="C38" s="1" t="s">
        <v>14</v>
      </c>
      <c r="D38" s="1" t="s">
        <v>801</v>
      </c>
      <c r="E38" s="1" t="s">
        <v>417</v>
      </c>
      <c r="F38" s="1" t="s">
        <v>793</v>
      </c>
    </row>
    <row r="39" spans="1:6" x14ac:dyDescent="0.15">
      <c r="A39" s="1" t="s">
        <v>679</v>
      </c>
      <c r="B39" s="1" t="s">
        <v>798</v>
      </c>
      <c r="C39" s="1" t="s">
        <v>14</v>
      </c>
      <c r="D39" s="1" t="s">
        <v>801</v>
      </c>
      <c r="E39" s="1" t="s">
        <v>417</v>
      </c>
      <c r="F39" s="1" t="s">
        <v>793</v>
      </c>
    </row>
    <row r="40" spans="1:6" x14ac:dyDescent="0.15">
      <c r="A40" s="1" t="s">
        <v>680</v>
      </c>
      <c r="B40" s="1" t="s">
        <v>798</v>
      </c>
      <c r="C40" s="1" t="s">
        <v>14</v>
      </c>
      <c r="D40" s="1" t="s">
        <v>801</v>
      </c>
      <c r="E40" s="1" t="s">
        <v>417</v>
      </c>
      <c r="F40" s="1" t="s">
        <v>793</v>
      </c>
    </row>
    <row r="41" spans="1:6" x14ac:dyDescent="0.15">
      <c r="A41" s="1" t="s">
        <v>684</v>
      </c>
      <c r="B41" s="1" t="s">
        <v>798</v>
      </c>
      <c r="C41" s="1" t="s">
        <v>14</v>
      </c>
      <c r="D41" s="1" t="s">
        <v>801</v>
      </c>
      <c r="E41" s="1" t="s">
        <v>417</v>
      </c>
      <c r="F41" s="1" t="s">
        <v>793</v>
      </c>
    </row>
    <row r="42" spans="1:6" x14ac:dyDescent="0.15">
      <c r="A42" s="1" t="s">
        <v>685</v>
      </c>
      <c r="B42" s="1" t="s">
        <v>798</v>
      </c>
      <c r="C42" s="1" t="s">
        <v>14</v>
      </c>
      <c r="D42" s="1" t="s">
        <v>801</v>
      </c>
      <c r="E42" s="1" t="s">
        <v>417</v>
      </c>
      <c r="F42" s="1" t="s">
        <v>793</v>
      </c>
    </row>
    <row r="43" spans="1:6" x14ac:dyDescent="0.15">
      <c r="A43" s="1" t="s">
        <v>687</v>
      </c>
      <c r="B43" s="1" t="s">
        <v>798</v>
      </c>
      <c r="C43" s="1" t="s">
        <v>14</v>
      </c>
      <c r="D43" s="1" t="s">
        <v>801</v>
      </c>
      <c r="E43" s="1" t="s">
        <v>417</v>
      </c>
      <c r="F43" s="1" t="s">
        <v>793</v>
      </c>
    </row>
    <row r="44" spans="1:6" x14ac:dyDescent="0.15">
      <c r="A44" s="1" t="s">
        <v>688</v>
      </c>
      <c r="B44" s="1" t="s">
        <v>798</v>
      </c>
      <c r="C44" s="1" t="s">
        <v>14</v>
      </c>
      <c r="D44" s="1" t="s">
        <v>801</v>
      </c>
      <c r="E44" s="1" t="s">
        <v>417</v>
      </c>
      <c r="F44" s="1" t="s">
        <v>604</v>
      </c>
    </row>
    <row r="45" spans="1:6" x14ac:dyDescent="0.15">
      <c r="A45" s="1" t="s">
        <v>689</v>
      </c>
      <c r="B45" s="1" t="s">
        <v>798</v>
      </c>
      <c r="C45" s="1" t="s">
        <v>14</v>
      </c>
      <c r="D45" s="1" t="s">
        <v>801</v>
      </c>
      <c r="E45" s="1" t="s">
        <v>417</v>
      </c>
      <c r="F45" s="1" t="s">
        <v>604</v>
      </c>
    </row>
    <row r="46" spans="1:6" x14ac:dyDescent="0.15">
      <c r="A46" s="1" t="s">
        <v>690</v>
      </c>
      <c r="B46" s="1" t="s">
        <v>798</v>
      </c>
      <c r="C46" s="1" t="s">
        <v>14</v>
      </c>
      <c r="D46" s="1" t="s">
        <v>182</v>
      </c>
      <c r="E46" s="1" t="s">
        <v>417</v>
      </c>
      <c r="F46" s="1" t="s">
        <v>784</v>
      </c>
    </row>
    <row r="47" spans="1:6" x14ac:dyDescent="0.15">
      <c r="A47" s="1" t="s">
        <v>691</v>
      </c>
      <c r="B47" s="1" t="s">
        <v>798</v>
      </c>
      <c r="C47" s="1" t="s">
        <v>14</v>
      </c>
      <c r="D47" s="1" t="s">
        <v>801</v>
      </c>
      <c r="E47" s="1" t="s">
        <v>417</v>
      </c>
      <c r="F47" s="1" t="s">
        <v>793</v>
      </c>
    </row>
    <row r="48" spans="1:6" x14ac:dyDescent="0.15">
      <c r="A48" s="1" t="s">
        <v>692</v>
      </c>
      <c r="B48" s="1" t="s">
        <v>798</v>
      </c>
      <c r="C48" s="1" t="s">
        <v>14</v>
      </c>
      <c r="D48" s="1" t="s">
        <v>182</v>
      </c>
      <c r="E48" s="1" t="s">
        <v>417</v>
      </c>
      <c r="F48" s="1" t="s">
        <v>580</v>
      </c>
    </row>
    <row r="49" spans="1:6" x14ac:dyDescent="0.15">
      <c r="A49" s="1" t="s">
        <v>693</v>
      </c>
      <c r="B49" s="1" t="s">
        <v>798</v>
      </c>
      <c r="C49" s="1" t="s">
        <v>14</v>
      </c>
      <c r="D49" s="1" t="s">
        <v>801</v>
      </c>
      <c r="E49" s="1" t="s">
        <v>417</v>
      </c>
      <c r="F49" s="1" t="s">
        <v>578</v>
      </c>
    </row>
    <row r="50" spans="1:6" x14ac:dyDescent="0.15">
      <c r="A50" s="1" t="s">
        <v>700</v>
      </c>
      <c r="B50" s="1" t="s">
        <v>798</v>
      </c>
      <c r="C50" s="1" t="s">
        <v>14</v>
      </c>
      <c r="D50" s="1" t="s">
        <v>799</v>
      </c>
      <c r="E50" s="1" t="s">
        <v>417</v>
      </c>
      <c r="F50" s="1" t="s">
        <v>285</v>
      </c>
    </row>
    <row r="51" spans="1:6" x14ac:dyDescent="0.15">
      <c r="A51" s="1" t="s">
        <v>701</v>
      </c>
      <c r="B51" s="1" t="s">
        <v>798</v>
      </c>
      <c r="C51" s="1" t="s">
        <v>14</v>
      </c>
      <c r="D51" s="1" t="s">
        <v>799</v>
      </c>
      <c r="E51" s="1" t="s">
        <v>417</v>
      </c>
      <c r="F51" s="1" t="s">
        <v>286</v>
      </c>
    </row>
    <row r="52" spans="1:6" x14ac:dyDescent="0.15">
      <c r="A52" s="1" t="s">
        <v>702</v>
      </c>
      <c r="B52" s="1" t="s">
        <v>798</v>
      </c>
      <c r="C52" s="1" t="s">
        <v>14</v>
      </c>
      <c r="D52" s="1" t="s">
        <v>801</v>
      </c>
      <c r="E52" s="1" t="s">
        <v>417</v>
      </c>
      <c r="F52" s="1" t="s">
        <v>604</v>
      </c>
    </row>
    <row r="53" spans="1:6" x14ac:dyDescent="0.15">
      <c r="A53" s="1" t="s">
        <v>425</v>
      </c>
      <c r="B53" s="1" t="s">
        <v>800</v>
      </c>
      <c r="C53" s="1" t="s">
        <v>273</v>
      </c>
      <c r="D53" s="1" t="s">
        <v>182</v>
      </c>
      <c r="E53" s="1" t="s">
        <v>417</v>
      </c>
      <c r="F53" s="1" t="s">
        <v>272</v>
      </c>
    </row>
    <row r="54" spans="1:6" x14ac:dyDescent="0.15">
      <c r="A54" s="1" t="s">
        <v>429</v>
      </c>
      <c r="B54" s="1" t="s">
        <v>800</v>
      </c>
      <c r="C54" s="1" t="s">
        <v>14</v>
      </c>
      <c r="D54" s="1" t="s">
        <v>799</v>
      </c>
      <c r="E54" s="1" t="s">
        <v>417</v>
      </c>
      <c r="F54" s="1" t="s">
        <v>547</v>
      </c>
    </row>
    <row r="55" spans="1:6" x14ac:dyDescent="0.15">
      <c r="A55" s="1" t="s">
        <v>430</v>
      </c>
      <c r="B55" s="1" t="s">
        <v>800</v>
      </c>
      <c r="C55" s="1" t="s">
        <v>14</v>
      </c>
      <c r="D55" s="1" t="s">
        <v>182</v>
      </c>
      <c r="E55" s="1" t="s">
        <v>417</v>
      </c>
      <c r="F55" s="1" t="s">
        <v>607</v>
      </c>
    </row>
    <row r="56" spans="1:6" x14ac:dyDescent="0.15">
      <c r="A56" s="1" t="s">
        <v>431</v>
      </c>
      <c r="B56" s="1" t="s">
        <v>800</v>
      </c>
      <c r="C56" s="1" t="s">
        <v>14</v>
      </c>
      <c r="D56" s="1" t="s">
        <v>182</v>
      </c>
      <c r="E56" s="1" t="s">
        <v>417</v>
      </c>
      <c r="F56" s="1" t="s">
        <v>607</v>
      </c>
    </row>
    <row r="57" spans="1:6" x14ac:dyDescent="0.15">
      <c r="A57" s="1" t="s">
        <v>435</v>
      </c>
      <c r="B57" s="1" t="s">
        <v>800</v>
      </c>
      <c r="C57" s="1" t="s">
        <v>14</v>
      </c>
      <c r="D57" s="1" t="s">
        <v>799</v>
      </c>
      <c r="E57" s="1" t="s">
        <v>417</v>
      </c>
      <c r="F57" s="1" t="s">
        <v>265</v>
      </c>
    </row>
    <row r="58" spans="1:6" x14ac:dyDescent="0.15">
      <c r="A58" s="1" t="s">
        <v>443</v>
      </c>
      <c r="B58" s="1" t="s">
        <v>800</v>
      </c>
      <c r="C58" s="1" t="s">
        <v>273</v>
      </c>
      <c r="D58" s="1" t="s">
        <v>182</v>
      </c>
      <c r="E58" s="1" t="s">
        <v>417</v>
      </c>
      <c r="F58" s="1" t="s">
        <v>272</v>
      </c>
    </row>
    <row r="59" spans="1:6" x14ac:dyDescent="0.15">
      <c r="A59" s="1" t="s">
        <v>447</v>
      </c>
      <c r="B59" s="1" t="s">
        <v>800</v>
      </c>
      <c r="C59" s="1" t="s">
        <v>14</v>
      </c>
      <c r="D59" s="1" t="s">
        <v>799</v>
      </c>
      <c r="E59" s="1" t="s">
        <v>417</v>
      </c>
      <c r="F59" s="1" t="s">
        <v>271</v>
      </c>
    </row>
    <row r="60" spans="1:6" x14ac:dyDescent="0.15">
      <c r="A60" s="1" t="s">
        <v>452</v>
      </c>
      <c r="B60" s="1" t="s">
        <v>800</v>
      </c>
      <c r="C60" s="1" t="s">
        <v>14</v>
      </c>
      <c r="D60" s="1" t="s">
        <v>182</v>
      </c>
      <c r="E60" s="1" t="s">
        <v>417</v>
      </c>
      <c r="F60" s="1" t="s">
        <v>607</v>
      </c>
    </row>
    <row r="61" spans="1:6" x14ac:dyDescent="0.15">
      <c r="A61" s="1" t="s">
        <v>454</v>
      </c>
      <c r="B61" s="1" t="s">
        <v>800</v>
      </c>
      <c r="C61" s="1" t="s">
        <v>14</v>
      </c>
      <c r="D61" s="1" t="s">
        <v>182</v>
      </c>
      <c r="E61" s="1" t="s">
        <v>417</v>
      </c>
      <c r="F61" s="1" t="s">
        <v>607</v>
      </c>
    </row>
    <row r="62" spans="1:6" x14ac:dyDescent="0.15">
      <c r="A62" s="1" t="s">
        <v>457</v>
      </c>
      <c r="B62" s="1" t="s">
        <v>800</v>
      </c>
      <c r="C62" s="1" t="s">
        <v>14</v>
      </c>
      <c r="D62" s="1" t="s">
        <v>799</v>
      </c>
      <c r="E62" s="1" t="s">
        <v>417</v>
      </c>
      <c r="F62" s="1" t="s">
        <v>276</v>
      </c>
    </row>
    <row r="63" spans="1:6" x14ac:dyDescent="0.15">
      <c r="A63" s="1" t="s">
        <v>473</v>
      </c>
      <c r="B63" s="1" t="s">
        <v>800</v>
      </c>
      <c r="C63" s="1" t="s">
        <v>14</v>
      </c>
      <c r="D63" s="1" t="s">
        <v>182</v>
      </c>
      <c r="E63" s="1" t="s">
        <v>417</v>
      </c>
      <c r="F63" s="1" t="s">
        <v>607</v>
      </c>
    </row>
    <row r="64" spans="1:6" x14ac:dyDescent="0.15">
      <c r="A64" s="1" t="s">
        <v>477</v>
      </c>
      <c r="B64" s="1" t="s">
        <v>800</v>
      </c>
      <c r="C64" s="1" t="s">
        <v>14</v>
      </c>
      <c r="D64" s="1" t="s">
        <v>182</v>
      </c>
      <c r="E64" s="1" t="s">
        <v>417</v>
      </c>
      <c r="F64" s="1" t="s">
        <v>607</v>
      </c>
    </row>
    <row r="65" spans="1:6" x14ac:dyDescent="0.15">
      <c r="A65" s="1" t="s">
        <v>482</v>
      </c>
      <c r="B65" s="1" t="s">
        <v>800</v>
      </c>
      <c r="C65" s="1" t="s">
        <v>14</v>
      </c>
      <c r="D65" s="1" t="s">
        <v>799</v>
      </c>
      <c r="E65" s="1" t="s">
        <v>417</v>
      </c>
      <c r="F65" s="1" t="s">
        <v>277</v>
      </c>
    </row>
    <row r="66" spans="1:6" x14ac:dyDescent="0.15">
      <c r="A66" s="1" t="s">
        <v>498</v>
      </c>
      <c r="B66" s="1" t="s">
        <v>800</v>
      </c>
      <c r="C66" s="1" t="s">
        <v>14</v>
      </c>
      <c r="D66" s="1" t="s">
        <v>799</v>
      </c>
      <c r="E66" s="1" t="s">
        <v>417</v>
      </c>
      <c r="F66" s="1" t="s">
        <v>270</v>
      </c>
    </row>
    <row r="67" spans="1:6" x14ac:dyDescent="0.15">
      <c r="A67" s="1" t="s">
        <v>694</v>
      </c>
      <c r="B67" s="1" t="s">
        <v>800</v>
      </c>
      <c r="C67" s="1" t="s">
        <v>14</v>
      </c>
      <c r="D67" s="1" t="s">
        <v>801</v>
      </c>
      <c r="E67" s="1" t="s">
        <v>417</v>
      </c>
      <c r="F67" s="1" t="s">
        <v>578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783AF-435E-4C4A-A54C-784041E7D877}">
  <dimension ref="A1:I232"/>
  <sheetViews>
    <sheetView showGridLines="0" topLeftCell="A61" workbookViewId="0">
      <selection activeCell="D13" sqref="D13"/>
    </sheetView>
  </sheetViews>
  <sheetFormatPr baseColWidth="10" defaultRowHeight="15" x14ac:dyDescent="0.25"/>
  <cols>
    <col min="1" max="1" width="41.42578125" bestFit="1" customWidth="1"/>
    <col min="4" max="4" width="12.7109375" customWidth="1"/>
    <col min="7" max="7" width="25" bestFit="1" customWidth="1"/>
    <col min="8" max="8" width="18.5703125" bestFit="1" customWidth="1"/>
    <col min="9" max="9" width="23.28515625" customWidth="1"/>
  </cols>
  <sheetData>
    <row r="1" spans="1:9" x14ac:dyDescent="0.25">
      <c r="A1" s="1" t="s">
        <v>0</v>
      </c>
      <c r="B1" s="1" t="s">
        <v>3</v>
      </c>
      <c r="C1" s="1" t="s">
        <v>6</v>
      </c>
      <c r="D1" s="1" t="s">
        <v>85</v>
      </c>
      <c r="E1" s="1" t="s">
        <v>797</v>
      </c>
      <c r="F1" s="1" t="s">
        <v>4</v>
      </c>
      <c r="G1" s="1" t="s">
        <v>821</v>
      </c>
      <c r="H1" s="1" t="s">
        <v>822</v>
      </c>
      <c r="I1" s="1" t="s">
        <v>823</v>
      </c>
    </row>
    <row r="2" spans="1:9" x14ac:dyDescent="0.25">
      <c r="A2" s="1" t="s">
        <v>252</v>
      </c>
      <c r="B2" s="1" t="s">
        <v>798</v>
      </c>
      <c r="C2" s="1" t="s">
        <v>14</v>
      </c>
      <c r="D2" s="1" t="s">
        <v>801</v>
      </c>
      <c r="E2" s="1" t="s">
        <v>812</v>
      </c>
      <c r="F2" s="1" t="s">
        <v>253</v>
      </c>
      <c r="G2" s="1" t="s">
        <v>805</v>
      </c>
      <c r="H2" s="1" t="s">
        <v>803</v>
      </c>
      <c r="I2" s="1" t="s">
        <v>793</v>
      </c>
    </row>
    <row r="3" spans="1:9" x14ac:dyDescent="0.25">
      <c r="A3" s="1" t="s">
        <v>327</v>
      </c>
      <c r="B3" s="1" t="s">
        <v>798</v>
      </c>
      <c r="C3" s="1" t="s">
        <v>14</v>
      </c>
      <c r="D3" s="1" t="s">
        <v>801</v>
      </c>
      <c r="E3" s="1" t="s">
        <v>812</v>
      </c>
      <c r="F3" s="1" t="s">
        <v>253</v>
      </c>
      <c r="G3" s="1" t="s">
        <v>808</v>
      </c>
      <c r="H3" s="1" t="s">
        <v>803</v>
      </c>
      <c r="I3" s="1" t="s">
        <v>604</v>
      </c>
    </row>
    <row r="4" spans="1:9" x14ac:dyDescent="0.25">
      <c r="A4" s="1" t="s">
        <v>352</v>
      </c>
      <c r="B4" s="1" t="s">
        <v>798</v>
      </c>
      <c r="C4" s="1" t="s">
        <v>14</v>
      </c>
      <c r="D4" s="1" t="s">
        <v>182</v>
      </c>
      <c r="E4" s="1" t="s">
        <v>812</v>
      </c>
      <c r="F4" s="1" t="s">
        <v>253</v>
      </c>
      <c r="G4" s="1" t="s">
        <v>802</v>
      </c>
      <c r="H4" s="1" t="s">
        <v>803</v>
      </c>
      <c r="I4" s="1" t="s">
        <v>606</v>
      </c>
    </row>
    <row r="5" spans="1:9" x14ac:dyDescent="0.25">
      <c r="A5" s="1" t="s">
        <v>354</v>
      </c>
      <c r="B5" s="1" t="s">
        <v>798</v>
      </c>
      <c r="C5" s="1" t="s">
        <v>14</v>
      </c>
      <c r="D5" s="1" t="s">
        <v>801</v>
      </c>
      <c r="E5" s="1" t="s">
        <v>812</v>
      </c>
      <c r="F5" s="1" t="s">
        <v>253</v>
      </c>
      <c r="G5" s="1" t="s">
        <v>804</v>
      </c>
      <c r="H5" s="1" t="s">
        <v>803</v>
      </c>
      <c r="I5" s="1" t="s">
        <v>578</v>
      </c>
    </row>
    <row r="6" spans="1:9" x14ac:dyDescent="0.25">
      <c r="A6" s="1" t="s">
        <v>358</v>
      </c>
      <c r="B6" s="1" t="s">
        <v>798</v>
      </c>
      <c r="C6" s="1" t="s">
        <v>24</v>
      </c>
      <c r="D6" s="1" t="s">
        <v>182</v>
      </c>
      <c r="E6" s="1" t="s">
        <v>812</v>
      </c>
      <c r="F6" s="1" t="s">
        <v>253</v>
      </c>
      <c r="G6" s="1" t="s">
        <v>802</v>
      </c>
      <c r="H6" s="1" t="s">
        <v>803</v>
      </c>
      <c r="I6" s="1" t="s">
        <v>266</v>
      </c>
    </row>
    <row r="7" spans="1:9" x14ac:dyDescent="0.25">
      <c r="A7" s="1" t="s">
        <v>359</v>
      </c>
      <c r="B7" s="1" t="s">
        <v>798</v>
      </c>
      <c r="C7" s="1" t="s">
        <v>14</v>
      </c>
      <c r="D7" s="1" t="s">
        <v>182</v>
      </c>
      <c r="E7" s="1" t="s">
        <v>812</v>
      </c>
      <c r="F7" s="1" t="s">
        <v>253</v>
      </c>
      <c r="G7" s="1" t="s">
        <v>802</v>
      </c>
      <c r="H7" s="1" t="s">
        <v>803</v>
      </c>
      <c r="I7" s="1" t="s">
        <v>607</v>
      </c>
    </row>
    <row r="8" spans="1:9" x14ac:dyDescent="0.25">
      <c r="A8" s="1" t="s">
        <v>360</v>
      </c>
      <c r="B8" s="1" t="s">
        <v>798</v>
      </c>
      <c r="C8" s="1" t="s">
        <v>14</v>
      </c>
      <c r="D8" s="1" t="s">
        <v>182</v>
      </c>
      <c r="E8" s="1" t="s">
        <v>812</v>
      </c>
      <c r="F8" s="1" t="s">
        <v>253</v>
      </c>
      <c r="G8" s="1" t="s">
        <v>802</v>
      </c>
      <c r="H8" s="1" t="s">
        <v>803</v>
      </c>
      <c r="I8" s="1" t="s">
        <v>607</v>
      </c>
    </row>
    <row r="9" spans="1:9" x14ac:dyDescent="0.25">
      <c r="A9" s="1" t="s">
        <v>361</v>
      </c>
      <c r="B9" s="1" t="s">
        <v>798</v>
      </c>
      <c r="C9" s="1" t="s">
        <v>14</v>
      </c>
      <c r="D9" s="1" t="s">
        <v>182</v>
      </c>
      <c r="E9" s="1" t="s">
        <v>812</v>
      </c>
      <c r="F9" s="1" t="s">
        <v>253</v>
      </c>
      <c r="G9" s="1" t="s">
        <v>802</v>
      </c>
      <c r="H9" s="1" t="s">
        <v>803</v>
      </c>
      <c r="I9" s="1" t="s">
        <v>606</v>
      </c>
    </row>
    <row r="10" spans="1:9" x14ac:dyDescent="0.25">
      <c r="A10" s="1" t="s">
        <v>362</v>
      </c>
      <c r="B10" s="1" t="s">
        <v>798</v>
      </c>
      <c r="C10" s="1" t="s">
        <v>14</v>
      </c>
      <c r="D10" s="1" t="s">
        <v>182</v>
      </c>
      <c r="E10" s="1" t="s">
        <v>812</v>
      </c>
      <c r="F10" s="1" t="s">
        <v>253</v>
      </c>
      <c r="G10" s="1" t="s">
        <v>802</v>
      </c>
      <c r="H10" s="1" t="s">
        <v>803</v>
      </c>
      <c r="I10" s="1" t="s">
        <v>607</v>
      </c>
    </row>
    <row r="11" spans="1:9" x14ac:dyDescent="0.25">
      <c r="A11" s="1" t="s">
        <v>363</v>
      </c>
      <c r="B11" s="1" t="s">
        <v>798</v>
      </c>
      <c r="C11" s="1" t="s">
        <v>14</v>
      </c>
      <c r="D11" s="1" t="s">
        <v>182</v>
      </c>
      <c r="E11" s="1" t="s">
        <v>812</v>
      </c>
      <c r="F11" s="1" t="s">
        <v>253</v>
      </c>
      <c r="G11" s="1" t="s">
        <v>802</v>
      </c>
      <c r="H11" s="1" t="s">
        <v>803</v>
      </c>
      <c r="I11" s="1" t="s">
        <v>607</v>
      </c>
    </row>
    <row r="12" spans="1:9" x14ac:dyDescent="0.25">
      <c r="A12" s="1" t="s">
        <v>365</v>
      </c>
      <c r="B12" s="1" t="s">
        <v>798</v>
      </c>
      <c r="C12" s="1" t="s">
        <v>14</v>
      </c>
      <c r="D12" s="1" t="s">
        <v>182</v>
      </c>
      <c r="E12" s="1" t="s">
        <v>812</v>
      </c>
      <c r="F12" s="1" t="s">
        <v>253</v>
      </c>
      <c r="G12" s="1" t="s">
        <v>802</v>
      </c>
      <c r="H12" s="1" t="s">
        <v>803</v>
      </c>
      <c r="I12" s="1" t="s">
        <v>607</v>
      </c>
    </row>
    <row r="13" spans="1:9" x14ac:dyDescent="0.25">
      <c r="A13" s="1" t="s">
        <v>373</v>
      </c>
      <c r="B13" s="1" t="s">
        <v>798</v>
      </c>
      <c r="C13" s="1" t="s">
        <v>14</v>
      </c>
      <c r="D13" s="1" t="s">
        <v>182</v>
      </c>
      <c r="E13" s="1" t="s">
        <v>812</v>
      </c>
      <c r="F13" s="1" t="s">
        <v>253</v>
      </c>
      <c r="G13" s="1" t="s">
        <v>802</v>
      </c>
      <c r="H13" s="1" t="s">
        <v>803</v>
      </c>
      <c r="I13" s="1" t="s">
        <v>607</v>
      </c>
    </row>
    <row r="14" spans="1:9" x14ac:dyDescent="0.25">
      <c r="A14" s="1" t="s">
        <v>375</v>
      </c>
      <c r="B14" s="1" t="s">
        <v>798</v>
      </c>
      <c r="C14" s="1" t="s">
        <v>14</v>
      </c>
      <c r="D14" s="1" t="s">
        <v>801</v>
      </c>
      <c r="E14" s="1" t="s">
        <v>812</v>
      </c>
      <c r="F14" s="1" t="s">
        <v>253</v>
      </c>
      <c r="G14" s="1" t="s">
        <v>804</v>
      </c>
      <c r="H14" s="1" t="s">
        <v>803</v>
      </c>
      <c r="I14" s="1" t="s">
        <v>578</v>
      </c>
    </row>
    <row r="15" spans="1:9" x14ac:dyDescent="0.25">
      <c r="A15" s="1" t="s">
        <v>378</v>
      </c>
      <c r="B15" s="1" t="s">
        <v>798</v>
      </c>
      <c r="C15" s="1" t="s">
        <v>14</v>
      </c>
      <c r="D15" s="1" t="s">
        <v>182</v>
      </c>
      <c r="E15" s="1" t="s">
        <v>812</v>
      </c>
      <c r="F15" s="1" t="s">
        <v>253</v>
      </c>
      <c r="G15" s="1" t="s">
        <v>802</v>
      </c>
      <c r="H15" s="1" t="s">
        <v>803</v>
      </c>
      <c r="I15" s="1" t="s">
        <v>607</v>
      </c>
    </row>
    <row r="16" spans="1:9" x14ac:dyDescent="0.25">
      <c r="A16" s="1" t="s">
        <v>379</v>
      </c>
      <c r="B16" s="1" t="s">
        <v>798</v>
      </c>
      <c r="C16" s="1" t="s">
        <v>14</v>
      </c>
      <c r="D16" s="1" t="s">
        <v>182</v>
      </c>
      <c r="E16" s="1" t="s">
        <v>812</v>
      </c>
      <c r="F16" s="1" t="s">
        <v>253</v>
      </c>
      <c r="G16" s="1" t="s">
        <v>802</v>
      </c>
      <c r="H16" s="1" t="s">
        <v>803</v>
      </c>
      <c r="I16" s="1" t="s">
        <v>607</v>
      </c>
    </row>
    <row r="17" spans="1:9" x14ac:dyDescent="0.25">
      <c r="A17" s="1" t="s">
        <v>382</v>
      </c>
      <c r="B17" s="1" t="s">
        <v>798</v>
      </c>
      <c r="C17" s="1" t="s">
        <v>14</v>
      </c>
      <c r="D17" s="1" t="s">
        <v>182</v>
      </c>
      <c r="E17" s="1" t="s">
        <v>812</v>
      </c>
      <c r="F17" s="1" t="s">
        <v>253</v>
      </c>
      <c r="G17" s="1" t="s">
        <v>802</v>
      </c>
      <c r="H17" s="1" t="s">
        <v>803</v>
      </c>
      <c r="I17" s="1" t="s">
        <v>607</v>
      </c>
    </row>
    <row r="18" spans="1:9" x14ac:dyDescent="0.25">
      <c r="A18" s="1" t="s">
        <v>383</v>
      </c>
      <c r="B18" s="1" t="s">
        <v>798</v>
      </c>
      <c r="C18" s="1" t="s">
        <v>14</v>
      </c>
      <c r="D18" s="1" t="s">
        <v>182</v>
      </c>
      <c r="E18" s="1" t="s">
        <v>812</v>
      </c>
      <c r="F18" s="1" t="s">
        <v>253</v>
      </c>
      <c r="G18" s="1" t="s">
        <v>802</v>
      </c>
      <c r="H18" s="1" t="s">
        <v>803</v>
      </c>
      <c r="I18" s="1" t="s">
        <v>607</v>
      </c>
    </row>
    <row r="19" spans="1:9" x14ac:dyDescent="0.25">
      <c r="A19" s="1" t="s">
        <v>384</v>
      </c>
      <c r="B19" s="1" t="s">
        <v>798</v>
      </c>
      <c r="C19" s="1" t="s">
        <v>14</v>
      </c>
      <c r="D19" s="1" t="s">
        <v>182</v>
      </c>
      <c r="E19" s="1" t="s">
        <v>812</v>
      </c>
      <c r="F19" s="1" t="s">
        <v>253</v>
      </c>
      <c r="G19" s="1" t="s">
        <v>802</v>
      </c>
      <c r="H19" s="1" t="s">
        <v>803</v>
      </c>
      <c r="I19" s="1" t="s">
        <v>607</v>
      </c>
    </row>
    <row r="20" spans="1:9" x14ac:dyDescent="0.25">
      <c r="A20" s="1" t="s">
        <v>387</v>
      </c>
      <c r="B20" s="1" t="s">
        <v>798</v>
      </c>
      <c r="C20" s="1" t="s">
        <v>14</v>
      </c>
      <c r="D20" s="1" t="s">
        <v>182</v>
      </c>
      <c r="E20" s="1" t="s">
        <v>812</v>
      </c>
      <c r="F20" s="1" t="s">
        <v>253</v>
      </c>
      <c r="G20" s="1" t="s">
        <v>802</v>
      </c>
      <c r="H20" s="1" t="s">
        <v>803</v>
      </c>
      <c r="I20" s="1" t="s">
        <v>606</v>
      </c>
    </row>
    <row r="21" spans="1:9" x14ac:dyDescent="0.25">
      <c r="A21" s="1" t="s">
        <v>389</v>
      </c>
      <c r="B21" s="1" t="s">
        <v>798</v>
      </c>
      <c r="C21" s="1" t="s">
        <v>14</v>
      </c>
      <c r="D21" s="1" t="s">
        <v>182</v>
      </c>
      <c r="E21" s="1" t="s">
        <v>812</v>
      </c>
      <c r="F21" s="1" t="s">
        <v>253</v>
      </c>
      <c r="G21" s="1" t="s">
        <v>802</v>
      </c>
      <c r="H21" s="1" t="s">
        <v>803</v>
      </c>
      <c r="I21" s="1" t="s">
        <v>607</v>
      </c>
    </row>
    <row r="22" spans="1:9" x14ac:dyDescent="0.25">
      <c r="A22" s="1" t="s">
        <v>390</v>
      </c>
      <c r="B22" s="1" t="s">
        <v>798</v>
      </c>
      <c r="C22" s="1" t="s">
        <v>14</v>
      </c>
      <c r="D22" s="1" t="s">
        <v>182</v>
      </c>
      <c r="E22" s="1" t="s">
        <v>812</v>
      </c>
      <c r="F22" s="1" t="s">
        <v>253</v>
      </c>
      <c r="G22" s="1" t="s">
        <v>810</v>
      </c>
      <c r="H22" s="1" t="s">
        <v>803</v>
      </c>
      <c r="I22" s="1" t="s">
        <v>580</v>
      </c>
    </row>
    <row r="23" spans="1:9" x14ac:dyDescent="0.25">
      <c r="A23" s="1" t="s">
        <v>392</v>
      </c>
      <c r="B23" s="1" t="s">
        <v>798</v>
      </c>
      <c r="C23" s="1" t="s">
        <v>273</v>
      </c>
      <c r="D23" s="1" t="s">
        <v>182</v>
      </c>
      <c r="E23" s="1" t="s">
        <v>812</v>
      </c>
      <c r="F23" s="1" t="s">
        <v>253</v>
      </c>
      <c r="G23" s="1" t="s">
        <v>802</v>
      </c>
      <c r="H23" s="1" t="s">
        <v>803</v>
      </c>
      <c r="I23" s="1" t="s">
        <v>272</v>
      </c>
    </row>
    <row r="24" spans="1:9" x14ac:dyDescent="0.25">
      <c r="A24" s="1" t="s">
        <v>393</v>
      </c>
      <c r="B24" s="1" t="s">
        <v>798</v>
      </c>
      <c r="C24" s="1" t="s">
        <v>14</v>
      </c>
      <c r="D24" s="1" t="s">
        <v>204</v>
      </c>
      <c r="E24" s="1" t="s">
        <v>812</v>
      </c>
      <c r="F24" s="1" t="s">
        <v>253</v>
      </c>
      <c r="G24" s="1" t="s">
        <v>814</v>
      </c>
      <c r="H24" s="1" t="s">
        <v>803</v>
      </c>
      <c r="I24" s="1" t="s">
        <v>479</v>
      </c>
    </row>
    <row r="25" spans="1:9" x14ac:dyDescent="0.25">
      <c r="A25" s="1" t="s">
        <v>398</v>
      </c>
      <c r="B25" s="1" t="s">
        <v>798</v>
      </c>
      <c r="C25" s="1" t="s">
        <v>14</v>
      </c>
      <c r="D25" s="1" t="s">
        <v>801</v>
      </c>
      <c r="E25" s="1" t="s">
        <v>812</v>
      </c>
      <c r="F25" s="1" t="s">
        <v>253</v>
      </c>
      <c r="G25" s="1" t="s">
        <v>805</v>
      </c>
      <c r="H25" s="1" t="s">
        <v>803</v>
      </c>
      <c r="I25" s="1" t="s">
        <v>793</v>
      </c>
    </row>
    <row r="26" spans="1:9" x14ac:dyDescent="0.25">
      <c r="A26" s="1" t="s">
        <v>400</v>
      </c>
      <c r="B26" s="1" t="s">
        <v>798</v>
      </c>
      <c r="C26" s="1" t="s">
        <v>14</v>
      </c>
      <c r="D26" s="1" t="s">
        <v>182</v>
      </c>
      <c r="E26" s="1" t="s">
        <v>812</v>
      </c>
      <c r="F26" s="1" t="s">
        <v>253</v>
      </c>
      <c r="G26" s="1" t="s">
        <v>802</v>
      </c>
      <c r="H26" s="1" t="s">
        <v>803</v>
      </c>
      <c r="I26" s="1" t="s">
        <v>607</v>
      </c>
    </row>
    <row r="27" spans="1:9" x14ac:dyDescent="0.25">
      <c r="A27" s="1" t="s">
        <v>401</v>
      </c>
      <c r="B27" s="1" t="s">
        <v>798</v>
      </c>
      <c r="C27" s="1" t="s">
        <v>273</v>
      </c>
      <c r="D27" s="1" t="s">
        <v>182</v>
      </c>
      <c r="E27" s="1" t="s">
        <v>812</v>
      </c>
      <c r="F27" s="1" t="s">
        <v>253</v>
      </c>
      <c r="G27" s="1" t="s">
        <v>802</v>
      </c>
      <c r="H27" s="1" t="s">
        <v>803</v>
      </c>
      <c r="I27" s="1" t="s">
        <v>272</v>
      </c>
    </row>
    <row r="28" spans="1:9" x14ac:dyDescent="0.25">
      <c r="A28" s="1" t="s">
        <v>403</v>
      </c>
      <c r="B28" s="1" t="s">
        <v>798</v>
      </c>
      <c r="C28" s="1" t="s">
        <v>14</v>
      </c>
      <c r="D28" s="1" t="s">
        <v>204</v>
      </c>
      <c r="E28" s="1" t="s">
        <v>812</v>
      </c>
      <c r="F28" s="1" t="s">
        <v>253</v>
      </c>
      <c r="G28" s="1" t="s">
        <v>814</v>
      </c>
      <c r="H28" s="1" t="s">
        <v>803</v>
      </c>
      <c r="I28" s="1" t="s">
        <v>479</v>
      </c>
    </row>
    <row r="29" spans="1:9" x14ac:dyDescent="0.25">
      <c r="A29" s="1" t="s">
        <v>404</v>
      </c>
      <c r="B29" s="1" t="s">
        <v>798</v>
      </c>
      <c r="C29" s="1" t="s">
        <v>14</v>
      </c>
      <c r="D29" s="1" t="s">
        <v>182</v>
      </c>
      <c r="E29" s="1" t="s">
        <v>812</v>
      </c>
      <c r="F29" s="1" t="s">
        <v>253</v>
      </c>
      <c r="G29" s="1" t="s">
        <v>802</v>
      </c>
      <c r="H29" s="1" t="s">
        <v>803</v>
      </c>
      <c r="I29" s="1" t="s">
        <v>607</v>
      </c>
    </row>
    <row r="30" spans="1:9" x14ac:dyDescent="0.25">
      <c r="A30" s="1" t="s">
        <v>405</v>
      </c>
      <c r="B30" s="1" t="s">
        <v>798</v>
      </c>
      <c r="C30" s="1" t="s">
        <v>14</v>
      </c>
      <c r="D30" s="1" t="s">
        <v>182</v>
      </c>
      <c r="E30" s="1" t="s">
        <v>812</v>
      </c>
      <c r="F30" s="1" t="s">
        <v>253</v>
      </c>
      <c r="G30" s="1" t="s">
        <v>802</v>
      </c>
      <c r="H30" s="1" t="s">
        <v>803</v>
      </c>
      <c r="I30" s="1" t="s">
        <v>607</v>
      </c>
    </row>
    <row r="31" spans="1:9" x14ac:dyDescent="0.25">
      <c r="A31" s="1" t="s">
        <v>406</v>
      </c>
      <c r="B31" s="1" t="s">
        <v>798</v>
      </c>
      <c r="C31" s="1" t="s">
        <v>14</v>
      </c>
      <c r="D31" s="1" t="s">
        <v>182</v>
      </c>
      <c r="E31" s="1" t="s">
        <v>812</v>
      </c>
      <c r="F31" s="1" t="s">
        <v>253</v>
      </c>
      <c r="G31" s="1" t="s">
        <v>815</v>
      </c>
      <c r="H31" s="1" t="s">
        <v>803</v>
      </c>
      <c r="I31" s="1" t="s">
        <v>548</v>
      </c>
    </row>
    <row r="32" spans="1:9" x14ac:dyDescent="0.25">
      <c r="A32" s="1" t="s">
        <v>411</v>
      </c>
      <c r="B32" s="1" t="s">
        <v>798</v>
      </c>
      <c r="C32" s="1" t="s">
        <v>14</v>
      </c>
      <c r="D32" s="1" t="s">
        <v>182</v>
      </c>
      <c r="E32" s="1" t="s">
        <v>812</v>
      </c>
      <c r="F32" s="1" t="s">
        <v>253</v>
      </c>
      <c r="G32" s="1" t="s">
        <v>802</v>
      </c>
      <c r="H32" s="1" t="s">
        <v>803</v>
      </c>
      <c r="I32" s="1" t="s">
        <v>607</v>
      </c>
    </row>
    <row r="33" spans="1:9" x14ac:dyDescent="0.25">
      <c r="A33" s="1" t="s">
        <v>412</v>
      </c>
      <c r="B33" s="1" t="s">
        <v>798</v>
      </c>
      <c r="C33" s="1" t="s">
        <v>14</v>
      </c>
      <c r="D33" s="1" t="s">
        <v>182</v>
      </c>
      <c r="E33" s="1" t="s">
        <v>812</v>
      </c>
      <c r="F33" s="1" t="s">
        <v>253</v>
      </c>
      <c r="G33" s="1" t="s">
        <v>802</v>
      </c>
      <c r="H33" s="1" t="s">
        <v>803</v>
      </c>
      <c r="I33" s="1" t="s">
        <v>607</v>
      </c>
    </row>
    <row r="34" spans="1:9" x14ac:dyDescent="0.25">
      <c r="A34" s="1" t="s">
        <v>413</v>
      </c>
      <c r="B34" s="1" t="s">
        <v>798</v>
      </c>
      <c r="C34" s="1" t="s">
        <v>14</v>
      </c>
      <c r="D34" s="1" t="s">
        <v>182</v>
      </c>
      <c r="E34" s="1" t="s">
        <v>812</v>
      </c>
      <c r="F34" s="1" t="s">
        <v>253</v>
      </c>
      <c r="G34" s="1" t="s">
        <v>802</v>
      </c>
      <c r="H34" s="1" t="s">
        <v>803</v>
      </c>
      <c r="I34" s="1" t="s">
        <v>607</v>
      </c>
    </row>
    <row r="35" spans="1:9" x14ac:dyDescent="0.25">
      <c r="A35" s="1" t="s">
        <v>414</v>
      </c>
      <c r="B35" s="1" t="s">
        <v>798</v>
      </c>
      <c r="C35" s="1" t="s">
        <v>14</v>
      </c>
      <c r="D35" s="1" t="s">
        <v>801</v>
      </c>
      <c r="E35" s="1" t="s">
        <v>812</v>
      </c>
      <c r="F35" s="1" t="s">
        <v>253</v>
      </c>
      <c r="G35" s="1" t="s">
        <v>804</v>
      </c>
      <c r="H35" s="1" t="s">
        <v>803</v>
      </c>
      <c r="I35" s="1" t="s">
        <v>578</v>
      </c>
    </row>
    <row r="36" spans="1:9" x14ac:dyDescent="0.25">
      <c r="A36" s="1" t="s">
        <v>416</v>
      </c>
      <c r="B36" s="1" t="s">
        <v>798</v>
      </c>
      <c r="C36" s="1" t="s">
        <v>14</v>
      </c>
      <c r="D36" s="1" t="s">
        <v>182</v>
      </c>
      <c r="E36" s="1" t="s">
        <v>417</v>
      </c>
      <c r="F36" s="1" t="s">
        <v>417</v>
      </c>
      <c r="G36" s="1" t="s">
        <v>802</v>
      </c>
      <c r="H36" s="1" t="s">
        <v>803</v>
      </c>
      <c r="I36" s="1" t="s">
        <v>607</v>
      </c>
    </row>
    <row r="37" spans="1:9" x14ac:dyDescent="0.25">
      <c r="A37" s="1" t="s">
        <v>418</v>
      </c>
      <c r="B37" s="1" t="s">
        <v>798</v>
      </c>
      <c r="C37" s="1" t="s">
        <v>14</v>
      </c>
      <c r="D37" s="1" t="s">
        <v>799</v>
      </c>
      <c r="E37" s="1" t="s">
        <v>417</v>
      </c>
      <c r="F37" s="1" t="s">
        <v>417</v>
      </c>
      <c r="G37" s="1" t="s">
        <v>802</v>
      </c>
      <c r="H37" s="1" t="s">
        <v>803</v>
      </c>
      <c r="I37" s="1" t="s">
        <v>547</v>
      </c>
    </row>
    <row r="38" spans="1:9" x14ac:dyDescent="0.25">
      <c r="A38" s="1" t="s">
        <v>426</v>
      </c>
      <c r="B38" s="1" t="s">
        <v>798</v>
      </c>
      <c r="C38" s="1" t="s">
        <v>14</v>
      </c>
      <c r="D38" s="1" t="s">
        <v>799</v>
      </c>
      <c r="E38" s="1" t="s">
        <v>417</v>
      </c>
      <c r="F38" s="1" t="s">
        <v>417</v>
      </c>
      <c r="G38" s="1" t="s">
        <v>802</v>
      </c>
      <c r="H38" s="1" t="s">
        <v>803</v>
      </c>
      <c r="I38" s="1" t="s">
        <v>284</v>
      </c>
    </row>
    <row r="39" spans="1:9" x14ac:dyDescent="0.25">
      <c r="A39" s="1" t="s">
        <v>427</v>
      </c>
      <c r="B39" s="1" t="s">
        <v>798</v>
      </c>
      <c r="C39" s="1" t="s">
        <v>14</v>
      </c>
      <c r="D39" s="1" t="s">
        <v>799</v>
      </c>
      <c r="E39" s="1" t="s">
        <v>417</v>
      </c>
      <c r="F39" s="1" t="s">
        <v>417</v>
      </c>
      <c r="G39" s="1" t="s">
        <v>802</v>
      </c>
      <c r="H39" s="1" t="s">
        <v>803</v>
      </c>
      <c r="I39" s="1" t="s">
        <v>261</v>
      </c>
    </row>
    <row r="40" spans="1:9" x14ac:dyDescent="0.25">
      <c r="A40" s="1" t="s">
        <v>432</v>
      </c>
      <c r="B40" s="1" t="s">
        <v>798</v>
      </c>
      <c r="C40" s="1" t="s">
        <v>14</v>
      </c>
      <c r="D40" s="1" t="s">
        <v>799</v>
      </c>
      <c r="E40" s="1" t="s">
        <v>417</v>
      </c>
      <c r="F40" s="1" t="s">
        <v>417</v>
      </c>
      <c r="G40" s="1" t="s">
        <v>802</v>
      </c>
      <c r="H40" s="1" t="s">
        <v>803</v>
      </c>
      <c r="I40" s="1" t="s">
        <v>283</v>
      </c>
    </row>
    <row r="41" spans="1:9" x14ac:dyDescent="0.25">
      <c r="A41" s="1" t="s">
        <v>433</v>
      </c>
      <c r="B41" s="1" t="s">
        <v>798</v>
      </c>
      <c r="C41" s="1" t="s">
        <v>24</v>
      </c>
      <c r="D41" s="1" t="s">
        <v>799</v>
      </c>
      <c r="E41" s="1" t="s">
        <v>417</v>
      </c>
      <c r="F41" s="1" t="s">
        <v>417</v>
      </c>
      <c r="G41" s="1" t="s">
        <v>802</v>
      </c>
      <c r="H41" s="1" t="s">
        <v>803</v>
      </c>
      <c r="I41" s="1" t="s">
        <v>340</v>
      </c>
    </row>
    <row r="42" spans="1:9" x14ac:dyDescent="0.25">
      <c r="A42" s="1" t="s">
        <v>440</v>
      </c>
      <c r="B42" s="1" t="s">
        <v>798</v>
      </c>
      <c r="C42" s="1" t="s">
        <v>14</v>
      </c>
      <c r="D42" s="1" t="s">
        <v>799</v>
      </c>
      <c r="E42" s="1" t="s">
        <v>417</v>
      </c>
      <c r="F42" s="1" t="s">
        <v>417</v>
      </c>
      <c r="G42" s="1" t="s">
        <v>802</v>
      </c>
      <c r="H42" s="1" t="s">
        <v>803</v>
      </c>
      <c r="I42" s="1" t="s">
        <v>263</v>
      </c>
    </row>
    <row r="43" spans="1:9" x14ac:dyDescent="0.25">
      <c r="A43" s="1" t="s">
        <v>441</v>
      </c>
      <c r="B43" s="1" t="s">
        <v>798</v>
      </c>
      <c r="C43" s="1" t="s">
        <v>14</v>
      </c>
      <c r="D43" s="1" t="s">
        <v>799</v>
      </c>
      <c r="E43" s="1" t="s">
        <v>417</v>
      </c>
      <c r="F43" s="1" t="s">
        <v>417</v>
      </c>
      <c r="G43" s="1" t="s">
        <v>802</v>
      </c>
      <c r="H43" s="1" t="s">
        <v>803</v>
      </c>
      <c r="I43" s="1" t="s">
        <v>267</v>
      </c>
    </row>
    <row r="44" spans="1:9" x14ac:dyDescent="0.25">
      <c r="A44" s="1" t="s">
        <v>444</v>
      </c>
      <c r="B44" s="1" t="s">
        <v>798</v>
      </c>
      <c r="C44" s="1" t="s">
        <v>14</v>
      </c>
      <c r="D44" s="1" t="s">
        <v>799</v>
      </c>
      <c r="E44" s="1" t="s">
        <v>417</v>
      </c>
      <c r="F44" s="1" t="s">
        <v>417</v>
      </c>
      <c r="G44" s="1" t="s">
        <v>802</v>
      </c>
      <c r="H44" s="1" t="s">
        <v>803</v>
      </c>
      <c r="I44" s="1" t="s">
        <v>281</v>
      </c>
    </row>
    <row r="45" spans="1:9" x14ac:dyDescent="0.25">
      <c r="A45" s="1" t="s">
        <v>445</v>
      </c>
      <c r="B45" s="1" t="s">
        <v>798</v>
      </c>
      <c r="C45" s="1" t="s">
        <v>273</v>
      </c>
      <c r="D45" s="1" t="s">
        <v>182</v>
      </c>
      <c r="E45" s="1" t="s">
        <v>812</v>
      </c>
      <c r="F45" s="1" t="s">
        <v>253</v>
      </c>
      <c r="G45" s="1" t="s">
        <v>802</v>
      </c>
      <c r="H45" s="1" t="s">
        <v>803</v>
      </c>
      <c r="I45" s="1" t="s">
        <v>272</v>
      </c>
    </row>
    <row r="46" spans="1:9" x14ac:dyDescent="0.25">
      <c r="A46" s="1" t="s">
        <v>446</v>
      </c>
      <c r="B46" s="1" t="s">
        <v>798</v>
      </c>
      <c r="C46" s="1" t="s">
        <v>14</v>
      </c>
      <c r="D46" s="1" t="s">
        <v>799</v>
      </c>
      <c r="E46" s="1" t="s">
        <v>417</v>
      </c>
      <c r="F46" s="1" t="s">
        <v>417</v>
      </c>
      <c r="G46" s="1" t="s">
        <v>802</v>
      </c>
      <c r="H46" s="1" t="s">
        <v>803</v>
      </c>
      <c r="I46" s="1" t="s">
        <v>279</v>
      </c>
    </row>
    <row r="47" spans="1:9" x14ac:dyDescent="0.25">
      <c r="A47" s="1" t="s">
        <v>453</v>
      </c>
      <c r="B47" s="1" t="s">
        <v>798</v>
      </c>
      <c r="C47" s="1" t="s">
        <v>14</v>
      </c>
      <c r="D47" s="1" t="s">
        <v>182</v>
      </c>
      <c r="E47" s="1" t="s">
        <v>417</v>
      </c>
      <c r="F47" s="1" t="s">
        <v>417</v>
      </c>
      <c r="G47" s="1" t="s">
        <v>802</v>
      </c>
      <c r="H47" s="1" t="s">
        <v>803</v>
      </c>
      <c r="I47" s="1" t="s">
        <v>607</v>
      </c>
    </row>
    <row r="48" spans="1:9" x14ac:dyDescent="0.25">
      <c r="A48" s="1" t="s">
        <v>458</v>
      </c>
      <c r="B48" s="1" t="s">
        <v>798</v>
      </c>
      <c r="C48" s="1" t="s">
        <v>24</v>
      </c>
      <c r="D48" s="1" t="s">
        <v>799</v>
      </c>
      <c r="E48" s="1" t="s">
        <v>417</v>
      </c>
      <c r="F48" s="1" t="s">
        <v>417</v>
      </c>
      <c r="G48" s="1" t="s">
        <v>802</v>
      </c>
      <c r="H48" s="1" t="s">
        <v>803</v>
      </c>
      <c r="I48" s="1" t="s">
        <v>275</v>
      </c>
    </row>
    <row r="49" spans="1:9" x14ac:dyDescent="0.25">
      <c r="A49" s="1" t="s">
        <v>459</v>
      </c>
      <c r="B49" s="1" t="s">
        <v>798</v>
      </c>
      <c r="C49" s="1" t="s">
        <v>14</v>
      </c>
      <c r="D49" s="1" t="s">
        <v>182</v>
      </c>
      <c r="E49" s="1" t="s">
        <v>812</v>
      </c>
      <c r="F49" s="1" t="s">
        <v>253</v>
      </c>
      <c r="G49" s="1" t="s">
        <v>802</v>
      </c>
      <c r="H49" s="1" t="s">
        <v>803</v>
      </c>
      <c r="I49" s="1" t="s">
        <v>607</v>
      </c>
    </row>
    <row r="50" spans="1:9" x14ac:dyDescent="0.25">
      <c r="A50" s="1" t="s">
        <v>461</v>
      </c>
      <c r="B50" s="1" t="s">
        <v>798</v>
      </c>
      <c r="C50" s="1" t="s">
        <v>14</v>
      </c>
      <c r="D50" s="1" t="s">
        <v>182</v>
      </c>
      <c r="E50" s="1" t="s">
        <v>812</v>
      </c>
      <c r="F50" s="1" t="s">
        <v>253</v>
      </c>
      <c r="G50" s="1" t="s">
        <v>802</v>
      </c>
      <c r="H50" s="1" t="s">
        <v>803</v>
      </c>
      <c r="I50" s="1" t="s">
        <v>290</v>
      </c>
    </row>
    <row r="51" spans="1:9" x14ac:dyDescent="0.25">
      <c r="A51" s="1" t="s">
        <v>462</v>
      </c>
      <c r="B51" s="1" t="s">
        <v>798</v>
      </c>
      <c r="C51" s="1" t="s">
        <v>14</v>
      </c>
      <c r="D51" s="1" t="s">
        <v>182</v>
      </c>
      <c r="E51" s="1" t="s">
        <v>812</v>
      </c>
      <c r="F51" s="1" t="s">
        <v>253</v>
      </c>
      <c r="G51" s="1" t="s">
        <v>802</v>
      </c>
      <c r="H51" s="1" t="s">
        <v>803</v>
      </c>
      <c r="I51" s="1" t="s">
        <v>290</v>
      </c>
    </row>
    <row r="52" spans="1:9" x14ac:dyDescent="0.25">
      <c r="A52" s="1" t="s">
        <v>464</v>
      </c>
      <c r="B52" s="1" t="s">
        <v>798</v>
      </c>
      <c r="C52" s="1" t="s">
        <v>14</v>
      </c>
      <c r="D52" s="1" t="s">
        <v>801</v>
      </c>
      <c r="E52" s="1" t="s">
        <v>417</v>
      </c>
      <c r="F52" s="1" t="s">
        <v>417</v>
      </c>
      <c r="G52" s="1" t="s">
        <v>804</v>
      </c>
      <c r="H52" s="1" t="s">
        <v>803</v>
      </c>
      <c r="I52" s="1" t="s">
        <v>578</v>
      </c>
    </row>
    <row r="53" spans="1:9" x14ac:dyDescent="0.25">
      <c r="A53" s="1" t="s">
        <v>469</v>
      </c>
      <c r="B53" s="1" t="s">
        <v>798</v>
      </c>
      <c r="C53" s="1" t="s">
        <v>14</v>
      </c>
      <c r="D53" s="1" t="s">
        <v>799</v>
      </c>
      <c r="E53" s="1" t="s">
        <v>417</v>
      </c>
      <c r="F53" s="1" t="s">
        <v>417</v>
      </c>
      <c r="G53" s="1" t="s">
        <v>802</v>
      </c>
      <c r="H53" s="1" t="s">
        <v>803</v>
      </c>
      <c r="I53" s="1" t="s">
        <v>257</v>
      </c>
    </row>
    <row r="54" spans="1:9" x14ac:dyDescent="0.25">
      <c r="A54" s="1" t="s">
        <v>470</v>
      </c>
      <c r="B54" s="1" t="s">
        <v>798</v>
      </c>
      <c r="C54" s="1" t="s">
        <v>14</v>
      </c>
      <c r="D54" s="1" t="s">
        <v>799</v>
      </c>
      <c r="E54" s="1" t="s">
        <v>417</v>
      </c>
      <c r="F54" s="1" t="s">
        <v>417</v>
      </c>
      <c r="G54" s="1" t="s">
        <v>802</v>
      </c>
      <c r="H54" s="1" t="s">
        <v>803</v>
      </c>
      <c r="I54" s="1" t="s">
        <v>280</v>
      </c>
    </row>
    <row r="55" spans="1:9" x14ac:dyDescent="0.25">
      <c r="A55" s="1" t="s">
        <v>471</v>
      </c>
      <c r="B55" s="1" t="s">
        <v>798</v>
      </c>
      <c r="C55" s="1" t="s">
        <v>14</v>
      </c>
      <c r="D55" s="1" t="s">
        <v>799</v>
      </c>
      <c r="E55" s="1" t="s">
        <v>417</v>
      </c>
      <c r="F55" s="1" t="s">
        <v>417</v>
      </c>
      <c r="G55" s="1" t="s">
        <v>802</v>
      </c>
      <c r="H55" s="1" t="s">
        <v>803</v>
      </c>
      <c r="I55" s="1" t="s">
        <v>264</v>
      </c>
    </row>
    <row r="56" spans="1:9" x14ac:dyDescent="0.25">
      <c r="A56" s="1" t="s">
        <v>474</v>
      </c>
      <c r="B56" s="1" t="s">
        <v>798</v>
      </c>
      <c r="C56" s="1" t="s">
        <v>14</v>
      </c>
      <c r="D56" s="1" t="s">
        <v>801</v>
      </c>
      <c r="E56" s="1" t="s">
        <v>417</v>
      </c>
      <c r="F56" s="1" t="s">
        <v>417</v>
      </c>
      <c r="G56" s="1" t="s">
        <v>805</v>
      </c>
      <c r="H56" s="1" t="s">
        <v>803</v>
      </c>
      <c r="I56" s="1" t="s">
        <v>793</v>
      </c>
    </row>
    <row r="57" spans="1:9" x14ac:dyDescent="0.25">
      <c r="A57" s="1" t="s">
        <v>476</v>
      </c>
      <c r="B57" s="1" t="s">
        <v>798</v>
      </c>
      <c r="C57" s="1" t="s">
        <v>14</v>
      </c>
      <c r="D57" s="1" t="s">
        <v>799</v>
      </c>
      <c r="E57" s="1" t="s">
        <v>417</v>
      </c>
      <c r="F57" s="1" t="s">
        <v>417</v>
      </c>
      <c r="G57" s="1" t="s">
        <v>802</v>
      </c>
      <c r="H57" s="1" t="s">
        <v>803</v>
      </c>
      <c r="I57" s="1" t="s">
        <v>278</v>
      </c>
    </row>
    <row r="58" spans="1:9" x14ac:dyDescent="0.25">
      <c r="A58" s="1" t="s">
        <v>483</v>
      </c>
      <c r="B58" s="1" t="s">
        <v>798</v>
      </c>
      <c r="C58" s="1" t="s">
        <v>14</v>
      </c>
      <c r="D58" s="1" t="s">
        <v>182</v>
      </c>
      <c r="E58" s="1" t="s">
        <v>812</v>
      </c>
      <c r="F58" s="1" t="s">
        <v>253</v>
      </c>
      <c r="G58" s="1" t="s">
        <v>802</v>
      </c>
      <c r="H58" s="1" t="s">
        <v>803</v>
      </c>
      <c r="I58" s="1" t="s">
        <v>607</v>
      </c>
    </row>
    <row r="59" spans="1:9" x14ac:dyDescent="0.25">
      <c r="A59" s="1" t="s">
        <v>485</v>
      </c>
      <c r="B59" s="1" t="s">
        <v>798</v>
      </c>
      <c r="C59" s="1" t="s">
        <v>14</v>
      </c>
      <c r="D59" s="1" t="s">
        <v>182</v>
      </c>
      <c r="E59" s="1" t="s">
        <v>812</v>
      </c>
      <c r="F59" s="1" t="s">
        <v>253</v>
      </c>
      <c r="G59" s="1" t="s">
        <v>802</v>
      </c>
      <c r="H59" s="1" t="s">
        <v>803</v>
      </c>
      <c r="I59" s="1" t="s">
        <v>607</v>
      </c>
    </row>
    <row r="60" spans="1:9" x14ac:dyDescent="0.25">
      <c r="A60" s="1" t="s">
        <v>490</v>
      </c>
      <c r="B60" s="1" t="s">
        <v>798</v>
      </c>
      <c r="C60" s="1" t="s">
        <v>14</v>
      </c>
      <c r="D60" s="1" t="s">
        <v>182</v>
      </c>
      <c r="E60" s="1" t="s">
        <v>812</v>
      </c>
      <c r="F60" s="1" t="s">
        <v>253</v>
      </c>
      <c r="G60" s="1" t="s">
        <v>802</v>
      </c>
      <c r="H60" s="1" t="s">
        <v>803</v>
      </c>
      <c r="I60" s="1" t="s">
        <v>607</v>
      </c>
    </row>
    <row r="61" spans="1:9" x14ac:dyDescent="0.25">
      <c r="A61" s="1" t="s">
        <v>491</v>
      </c>
      <c r="B61" s="1" t="s">
        <v>798</v>
      </c>
      <c r="C61" s="1" t="s">
        <v>14</v>
      </c>
      <c r="D61" s="1" t="s">
        <v>182</v>
      </c>
      <c r="E61" s="1" t="s">
        <v>812</v>
      </c>
      <c r="F61" s="1" t="s">
        <v>253</v>
      </c>
      <c r="G61" s="1" t="s">
        <v>802</v>
      </c>
      <c r="H61" s="1" t="s">
        <v>803</v>
      </c>
      <c r="I61" s="1" t="s">
        <v>607</v>
      </c>
    </row>
    <row r="62" spans="1:9" x14ac:dyDescent="0.25">
      <c r="A62" s="1" t="s">
        <v>492</v>
      </c>
      <c r="B62" s="1" t="s">
        <v>798</v>
      </c>
      <c r="C62" s="1" t="s">
        <v>14</v>
      </c>
      <c r="D62" s="1" t="s">
        <v>182</v>
      </c>
      <c r="E62" s="1" t="s">
        <v>812</v>
      </c>
      <c r="F62" s="1" t="s">
        <v>253</v>
      </c>
      <c r="G62" s="1" t="s">
        <v>802</v>
      </c>
      <c r="H62" s="1" t="s">
        <v>803</v>
      </c>
      <c r="I62" s="1" t="s">
        <v>607</v>
      </c>
    </row>
    <row r="63" spans="1:9" x14ac:dyDescent="0.25">
      <c r="A63" s="1" t="s">
        <v>499</v>
      </c>
      <c r="B63" s="1" t="s">
        <v>798</v>
      </c>
      <c r="C63" s="1" t="s">
        <v>14</v>
      </c>
      <c r="D63" s="1" t="s">
        <v>182</v>
      </c>
      <c r="E63" s="1" t="s">
        <v>417</v>
      </c>
      <c r="F63" s="1" t="s">
        <v>417</v>
      </c>
      <c r="G63" s="1" t="s">
        <v>802</v>
      </c>
      <c r="H63" s="1" t="s">
        <v>803</v>
      </c>
      <c r="I63" s="1" t="s">
        <v>607</v>
      </c>
    </row>
    <row r="64" spans="1:9" x14ac:dyDescent="0.25">
      <c r="A64" s="1" t="s">
        <v>500</v>
      </c>
      <c r="B64" s="1" t="s">
        <v>798</v>
      </c>
      <c r="C64" s="1" t="s">
        <v>14</v>
      </c>
      <c r="D64" s="1" t="s">
        <v>799</v>
      </c>
      <c r="E64" s="1" t="s">
        <v>417</v>
      </c>
      <c r="F64" s="1" t="s">
        <v>417</v>
      </c>
      <c r="G64" s="1" t="s">
        <v>802</v>
      </c>
      <c r="H64" s="1" t="s">
        <v>803</v>
      </c>
      <c r="I64" s="1" t="s">
        <v>269</v>
      </c>
    </row>
    <row r="65" spans="1:9" x14ac:dyDescent="0.25">
      <c r="A65" s="1" t="s">
        <v>502</v>
      </c>
      <c r="B65" s="1" t="s">
        <v>798</v>
      </c>
      <c r="C65" s="1" t="s">
        <v>14</v>
      </c>
      <c r="D65" s="1" t="s">
        <v>182</v>
      </c>
      <c r="E65" s="1" t="s">
        <v>812</v>
      </c>
      <c r="F65" s="1" t="s">
        <v>253</v>
      </c>
      <c r="G65" s="1" t="s">
        <v>802</v>
      </c>
      <c r="H65" s="1" t="s">
        <v>803</v>
      </c>
      <c r="I65" s="1" t="s">
        <v>607</v>
      </c>
    </row>
    <row r="66" spans="1:9" x14ac:dyDescent="0.25">
      <c r="A66" s="1" t="s">
        <v>503</v>
      </c>
      <c r="B66" s="1" t="s">
        <v>798</v>
      </c>
      <c r="C66" s="1" t="s">
        <v>14</v>
      </c>
      <c r="D66" s="1" t="s">
        <v>182</v>
      </c>
      <c r="E66" s="1" t="s">
        <v>812</v>
      </c>
      <c r="F66" s="1" t="s">
        <v>253</v>
      </c>
      <c r="G66" s="1" t="s">
        <v>802</v>
      </c>
      <c r="H66" s="1" t="s">
        <v>803</v>
      </c>
      <c r="I66" s="1" t="s">
        <v>607</v>
      </c>
    </row>
    <row r="67" spans="1:9" x14ac:dyDescent="0.25">
      <c r="A67" s="1" t="s">
        <v>513</v>
      </c>
      <c r="B67" s="1" t="s">
        <v>798</v>
      </c>
      <c r="C67" s="1" t="s">
        <v>14</v>
      </c>
      <c r="D67" s="1" t="s">
        <v>182</v>
      </c>
      <c r="E67" s="1" t="s">
        <v>812</v>
      </c>
      <c r="F67" s="1" t="s">
        <v>253</v>
      </c>
      <c r="G67" s="1" t="s">
        <v>802</v>
      </c>
      <c r="H67" s="1" t="s">
        <v>803</v>
      </c>
      <c r="I67" s="1" t="s">
        <v>607</v>
      </c>
    </row>
    <row r="68" spans="1:9" x14ac:dyDescent="0.25">
      <c r="A68" s="1" t="s">
        <v>514</v>
      </c>
      <c r="B68" s="1" t="s">
        <v>798</v>
      </c>
      <c r="C68" s="1" t="s">
        <v>14</v>
      </c>
      <c r="D68" s="1" t="s">
        <v>182</v>
      </c>
      <c r="E68" s="1" t="s">
        <v>812</v>
      </c>
      <c r="F68" s="1" t="s">
        <v>253</v>
      </c>
      <c r="G68" s="1" t="s">
        <v>802</v>
      </c>
      <c r="H68" s="1" t="s">
        <v>803</v>
      </c>
      <c r="I68" s="1" t="s">
        <v>606</v>
      </c>
    </row>
    <row r="69" spans="1:9" x14ac:dyDescent="0.25">
      <c r="A69" s="1" t="s">
        <v>519</v>
      </c>
      <c r="B69" s="1" t="s">
        <v>798</v>
      </c>
      <c r="C69" s="1" t="s">
        <v>14</v>
      </c>
      <c r="D69" s="1" t="s">
        <v>182</v>
      </c>
      <c r="E69" s="1" t="s">
        <v>812</v>
      </c>
      <c r="F69" s="1" t="s">
        <v>253</v>
      </c>
      <c r="G69" s="1" t="s">
        <v>802</v>
      </c>
      <c r="H69" s="1" t="s">
        <v>803</v>
      </c>
      <c r="I69" s="1" t="s">
        <v>607</v>
      </c>
    </row>
    <row r="70" spans="1:9" x14ac:dyDescent="0.25">
      <c r="A70" s="1" t="s">
        <v>522</v>
      </c>
      <c r="B70" s="1" t="s">
        <v>798</v>
      </c>
      <c r="C70" s="1" t="s">
        <v>14</v>
      </c>
      <c r="D70" s="1" t="s">
        <v>182</v>
      </c>
      <c r="E70" s="1" t="s">
        <v>812</v>
      </c>
      <c r="F70" s="1" t="s">
        <v>253</v>
      </c>
      <c r="G70" s="1" t="s">
        <v>802</v>
      </c>
      <c r="H70" s="1" t="s">
        <v>803</v>
      </c>
      <c r="I70" s="1" t="s">
        <v>607</v>
      </c>
    </row>
    <row r="71" spans="1:9" x14ac:dyDescent="0.25">
      <c r="A71" s="1" t="s">
        <v>523</v>
      </c>
      <c r="B71" s="1" t="s">
        <v>798</v>
      </c>
      <c r="C71" s="1" t="s">
        <v>14</v>
      </c>
      <c r="D71" s="1" t="s">
        <v>801</v>
      </c>
      <c r="E71" s="1" t="s">
        <v>812</v>
      </c>
      <c r="F71" s="1" t="s">
        <v>253</v>
      </c>
      <c r="G71" s="1" t="s">
        <v>804</v>
      </c>
      <c r="H71" s="1" t="s">
        <v>803</v>
      </c>
      <c r="I71" s="1" t="s">
        <v>578</v>
      </c>
    </row>
    <row r="72" spans="1:9" x14ac:dyDescent="0.25">
      <c r="A72" s="1" t="s">
        <v>524</v>
      </c>
      <c r="B72" s="1" t="s">
        <v>798</v>
      </c>
      <c r="C72" s="1" t="s">
        <v>14</v>
      </c>
      <c r="D72" s="1" t="s">
        <v>182</v>
      </c>
      <c r="E72" s="1" t="s">
        <v>812</v>
      </c>
      <c r="F72" s="1" t="s">
        <v>253</v>
      </c>
      <c r="G72" s="1" t="s">
        <v>802</v>
      </c>
      <c r="H72" s="1" t="s">
        <v>803</v>
      </c>
      <c r="I72" s="1" t="s">
        <v>607</v>
      </c>
    </row>
    <row r="73" spans="1:9" x14ac:dyDescent="0.25">
      <c r="A73" s="1" t="s">
        <v>525</v>
      </c>
      <c r="B73" s="1" t="s">
        <v>798</v>
      </c>
      <c r="C73" s="1" t="s">
        <v>14</v>
      </c>
      <c r="D73" s="1" t="s">
        <v>801</v>
      </c>
      <c r="E73" s="1" t="s">
        <v>812</v>
      </c>
      <c r="F73" s="1" t="s">
        <v>253</v>
      </c>
      <c r="G73" s="1" t="s">
        <v>804</v>
      </c>
      <c r="H73" s="1" t="s">
        <v>803</v>
      </c>
      <c r="I73" s="1" t="s">
        <v>578</v>
      </c>
    </row>
    <row r="74" spans="1:9" x14ac:dyDescent="0.25">
      <c r="A74" s="1" t="s">
        <v>526</v>
      </c>
      <c r="B74" s="1" t="s">
        <v>798</v>
      </c>
      <c r="C74" s="1" t="s">
        <v>14</v>
      </c>
      <c r="D74" s="1" t="s">
        <v>182</v>
      </c>
      <c r="E74" s="1" t="s">
        <v>812</v>
      </c>
      <c r="F74" s="1" t="s">
        <v>253</v>
      </c>
      <c r="G74" s="1" t="s">
        <v>802</v>
      </c>
      <c r="H74" s="1" t="s">
        <v>803</v>
      </c>
      <c r="I74" s="1" t="s">
        <v>607</v>
      </c>
    </row>
    <row r="75" spans="1:9" x14ac:dyDescent="0.25">
      <c r="A75" s="1" t="s">
        <v>528</v>
      </c>
      <c r="B75" s="1" t="s">
        <v>798</v>
      </c>
      <c r="C75" s="1" t="s">
        <v>273</v>
      </c>
      <c r="D75" s="1" t="s">
        <v>182</v>
      </c>
      <c r="E75" s="1" t="s">
        <v>812</v>
      </c>
      <c r="F75" s="1" t="s">
        <v>253</v>
      </c>
      <c r="G75" s="1" t="s">
        <v>802</v>
      </c>
      <c r="H75" s="1" t="s">
        <v>803</v>
      </c>
      <c r="I75" s="1" t="s">
        <v>272</v>
      </c>
    </row>
    <row r="76" spans="1:9" x14ac:dyDescent="0.25">
      <c r="A76" s="1" t="s">
        <v>529</v>
      </c>
      <c r="B76" s="1" t="s">
        <v>798</v>
      </c>
      <c r="C76" s="1" t="s">
        <v>14</v>
      </c>
      <c r="D76" s="1" t="s">
        <v>182</v>
      </c>
      <c r="E76" s="1" t="s">
        <v>812</v>
      </c>
      <c r="F76" s="1" t="s">
        <v>253</v>
      </c>
      <c r="G76" s="1" t="s">
        <v>802</v>
      </c>
      <c r="H76" s="1" t="s">
        <v>803</v>
      </c>
      <c r="I76" s="1" t="s">
        <v>607</v>
      </c>
    </row>
    <row r="77" spans="1:9" x14ac:dyDescent="0.25">
      <c r="A77" s="1" t="s">
        <v>533</v>
      </c>
      <c r="B77" s="1" t="s">
        <v>798</v>
      </c>
      <c r="C77" s="1" t="s">
        <v>14</v>
      </c>
      <c r="D77" s="1" t="s">
        <v>182</v>
      </c>
      <c r="E77" s="1" t="s">
        <v>812</v>
      </c>
      <c r="F77" s="1" t="s">
        <v>253</v>
      </c>
      <c r="G77" s="1" t="s">
        <v>802</v>
      </c>
      <c r="H77" s="1" t="s">
        <v>803</v>
      </c>
      <c r="I77" s="1" t="s">
        <v>607</v>
      </c>
    </row>
    <row r="78" spans="1:9" x14ac:dyDescent="0.25">
      <c r="A78" s="1" t="s">
        <v>534</v>
      </c>
      <c r="B78" s="1" t="s">
        <v>798</v>
      </c>
      <c r="C78" s="1" t="s">
        <v>14</v>
      </c>
      <c r="D78" s="1" t="s">
        <v>204</v>
      </c>
      <c r="E78" s="1" t="s">
        <v>812</v>
      </c>
      <c r="F78" s="1" t="s">
        <v>253</v>
      </c>
      <c r="G78" s="1" t="s">
        <v>814</v>
      </c>
      <c r="H78" s="1" t="s">
        <v>803</v>
      </c>
      <c r="I78" s="1" t="s">
        <v>479</v>
      </c>
    </row>
    <row r="79" spans="1:9" x14ac:dyDescent="0.25">
      <c r="A79" s="1" t="s">
        <v>536</v>
      </c>
      <c r="B79" s="1" t="s">
        <v>798</v>
      </c>
      <c r="C79" s="1" t="s">
        <v>14</v>
      </c>
      <c r="D79" s="1" t="s">
        <v>182</v>
      </c>
      <c r="E79" s="1" t="s">
        <v>812</v>
      </c>
      <c r="F79" s="1" t="s">
        <v>253</v>
      </c>
      <c r="G79" s="1" t="s">
        <v>807</v>
      </c>
      <c r="H79" s="1" t="s">
        <v>803</v>
      </c>
      <c r="I79" s="1" t="s">
        <v>784</v>
      </c>
    </row>
    <row r="80" spans="1:9" x14ac:dyDescent="0.25">
      <c r="A80" s="1" t="s">
        <v>537</v>
      </c>
      <c r="B80" s="1" t="s">
        <v>798</v>
      </c>
      <c r="C80" s="1" t="s">
        <v>14</v>
      </c>
      <c r="D80" s="1" t="s">
        <v>182</v>
      </c>
      <c r="E80" s="1" t="s">
        <v>812</v>
      </c>
      <c r="F80" s="1" t="s">
        <v>253</v>
      </c>
      <c r="G80" s="1" t="s">
        <v>802</v>
      </c>
      <c r="H80" s="1" t="s">
        <v>803</v>
      </c>
      <c r="I80" s="1" t="s">
        <v>607</v>
      </c>
    </row>
    <row r="81" spans="1:9" x14ac:dyDescent="0.25">
      <c r="A81" s="1" t="s">
        <v>538</v>
      </c>
      <c r="B81" s="1" t="s">
        <v>798</v>
      </c>
      <c r="C81" s="1" t="s">
        <v>14</v>
      </c>
      <c r="D81" s="1" t="s">
        <v>182</v>
      </c>
      <c r="E81" s="1" t="s">
        <v>812</v>
      </c>
      <c r="F81" s="1" t="s">
        <v>253</v>
      </c>
      <c r="G81" s="1" t="s">
        <v>802</v>
      </c>
      <c r="H81" s="1" t="s">
        <v>803</v>
      </c>
      <c r="I81" s="1" t="s">
        <v>607</v>
      </c>
    </row>
    <row r="82" spans="1:9" x14ac:dyDescent="0.25">
      <c r="A82" s="1" t="s">
        <v>540</v>
      </c>
      <c r="B82" s="1" t="s">
        <v>798</v>
      </c>
      <c r="C82" s="1" t="s">
        <v>14</v>
      </c>
      <c r="D82" s="1" t="s">
        <v>182</v>
      </c>
      <c r="E82" s="1" t="s">
        <v>812</v>
      </c>
      <c r="F82" s="1" t="s">
        <v>253</v>
      </c>
      <c r="G82" s="1" t="s">
        <v>802</v>
      </c>
      <c r="H82" s="1" t="s">
        <v>803</v>
      </c>
      <c r="I82" s="1" t="s">
        <v>607</v>
      </c>
    </row>
    <row r="83" spans="1:9" x14ac:dyDescent="0.25">
      <c r="A83" s="1" t="s">
        <v>541</v>
      </c>
      <c r="B83" s="1" t="s">
        <v>798</v>
      </c>
      <c r="C83" s="1" t="s">
        <v>14</v>
      </c>
      <c r="D83" s="1" t="s">
        <v>182</v>
      </c>
      <c r="E83" s="1" t="s">
        <v>812</v>
      </c>
      <c r="F83" s="1" t="s">
        <v>253</v>
      </c>
      <c r="G83" s="1" t="s">
        <v>815</v>
      </c>
      <c r="H83" s="1" t="s">
        <v>803</v>
      </c>
      <c r="I83" s="1" t="s">
        <v>548</v>
      </c>
    </row>
    <row r="84" spans="1:9" x14ac:dyDescent="0.25">
      <c r="A84" s="1" t="s">
        <v>542</v>
      </c>
      <c r="B84" s="1" t="s">
        <v>798</v>
      </c>
      <c r="C84" s="1" t="s">
        <v>14</v>
      </c>
      <c r="D84" s="1" t="s">
        <v>182</v>
      </c>
      <c r="E84" s="1" t="s">
        <v>812</v>
      </c>
      <c r="F84" s="1" t="s">
        <v>253</v>
      </c>
      <c r="G84" s="1" t="s">
        <v>802</v>
      </c>
      <c r="H84" s="1" t="s">
        <v>803</v>
      </c>
      <c r="I84" s="1" t="s">
        <v>607</v>
      </c>
    </row>
    <row r="85" spans="1:9" x14ac:dyDescent="0.25">
      <c r="A85" s="1" t="s">
        <v>543</v>
      </c>
      <c r="B85" s="1" t="s">
        <v>798</v>
      </c>
      <c r="C85" s="1" t="s">
        <v>14</v>
      </c>
      <c r="D85" s="1" t="s">
        <v>182</v>
      </c>
      <c r="E85" s="1" t="s">
        <v>812</v>
      </c>
      <c r="F85" s="1" t="s">
        <v>253</v>
      </c>
      <c r="G85" s="1" t="s">
        <v>802</v>
      </c>
      <c r="H85" s="1" t="s">
        <v>803</v>
      </c>
      <c r="I85" s="1" t="s">
        <v>607</v>
      </c>
    </row>
    <row r="86" spans="1:9" x14ac:dyDescent="0.25">
      <c r="A86" s="1" t="s">
        <v>544</v>
      </c>
      <c r="B86" s="1" t="s">
        <v>798</v>
      </c>
      <c r="C86" s="1" t="s">
        <v>14</v>
      </c>
      <c r="D86" s="1" t="s">
        <v>801</v>
      </c>
      <c r="E86" s="1" t="s">
        <v>812</v>
      </c>
      <c r="F86" s="1" t="s">
        <v>253</v>
      </c>
      <c r="G86" s="1" t="s">
        <v>804</v>
      </c>
      <c r="H86" s="1" t="s">
        <v>803</v>
      </c>
      <c r="I86" s="1" t="s">
        <v>578</v>
      </c>
    </row>
    <row r="87" spans="1:9" x14ac:dyDescent="0.25">
      <c r="A87" s="1" t="s">
        <v>546</v>
      </c>
      <c r="B87" s="1" t="s">
        <v>798</v>
      </c>
      <c r="C87" s="1" t="s">
        <v>14</v>
      </c>
      <c r="D87" s="1" t="s">
        <v>182</v>
      </c>
      <c r="E87" s="1" t="s">
        <v>812</v>
      </c>
      <c r="F87" s="1" t="s">
        <v>253</v>
      </c>
      <c r="G87" s="1" t="s">
        <v>810</v>
      </c>
      <c r="H87" s="1" t="s">
        <v>803</v>
      </c>
      <c r="I87" s="1" t="s">
        <v>589</v>
      </c>
    </row>
    <row r="88" spans="1:9" x14ac:dyDescent="0.25">
      <c r="A88" s="1" t="s">
        <v>552</v>
      </c>
      <c r="B88" s="1" t="s">
        <v>798</v>
      </c>
      <c r="C88" s="1" t="s">
        <v>14</v>
      </c>
      <c r="D88" s="1" t="s">
        <v>813</v>
      </c>
      <c r="E88" s="1" t="s">
        <v>812</v>
      </c>
      <c r="F88" s="1" t="s">
        <v>253</v>
      </c>
      <c r="G88" s="1" t="s">
        <v>816</v>
      </c>
      <c r="H88" s="1" t="s">
        <v>803</v>
      </c>
      <c r="I88" s="1" t="s">
        <v>552</v>
      </c>
    </row>
    <row r="89" spans="1:9" x14ac:dyDescent="0.25">
      <c r="A89" s="1" t="s">
        <v>558</v>
      </c>
      <c r="B89" s="1" t="s">
        <v>798</v>
      </c>
      <c r="C89" s="1" t="s">
        <v>24</v>
      </c>
      <c r="D89" s="1" t="s">
        <v>799</v>
      </c>
      <c r="E89" s="1" t="s">
        <v>417</v>
      </c>
      <c r="F89" s="1" t="s">
        <v>417</v>
      </c>
      <c r="G89" s="1" t="s">
        <v>802</v>
      </c>
      <c r="H89" s="1" t="s">
        <v>803</v>
      </c>
      <c r="I89" s="1" t="s">
        <v>340</v>
      </c>
    </row>
    <row r="90" spans="1:9" x14ac:dyDescent="0.25">
      <c r="A90" s="1" t="s">
        <v>591</v>
      </c>
      <c r="B90" s="1" t="s">
        <v>798</v>
      </c>
      <c r="C90" s="1" t="s">
        <v>14</v>
      </c>
      <c r="D90" s="1" t="s">
        <v>182</v>
      </c>
      <c r="E90" s="1" t="s">
        <v>812</v>
      </c>
      <c r="F90" s="1" t="s">
        <v>253</v>
      </c>
      <c r="G90" s="1" t="s">
        <v>817</v>
      </c>
      <c r="H90" s="1" t="s">
        <v>803</v>
      </c>
      <c r="I90" s="1" t="s">
        <v>747</v>
      </c>
    </row>
    <row r="91" spans="1:9" x14ac:dyDescent="0.25">
      <c r="A91" s="1" t="s">
        <v>593</v>
      </c>
      <c r="B91" s="1" t="s">
        <v>798</v>
      </c>
      <c r="C91" s="1" t="s">
        <v>14</v>
      </c>
      <c r="D91" s="1" t="s">
        <v>801</v>
      </c>
      <c r="E91" s="1" t="s">
        <v>812</v>
      </c>
      <c r="F91" s="1" t="s">
        <v>253</v>
      </c>
      <c r="G91" s="1" t="s">
        <v>805</v>
      </c>
      <c r="H91" s="1" t="s">
        <v>803</v>
      </c>
      <c r="I91" s="1" t="s">
        <v>793</v>
      </c>
    </row>
    <row r="92" spans="1:9" x14ac:dyDescent="0.25">
      <c r="A92" s="1" t="s">
        <v>608</v>
      </c>
      <c r="B92" s="1" t="s">
        <v>798</v>
      </c>
      <c r="C92" s="1" t="s">
        <v>14</v>
      </c>
      <c r="D92" s="1" t="s">
        <v>182</v>
      </c>
      <c r="E92" s="1" t="s">
        <v>812</v>
      </c>
      <c r="F92" s="1" t="s">
        <v>253</v>
      </c>
      <c r="G92" s="1" t="s">
        <v>810</v>
      </c>
      <c r="H92" s="1" t="s">
        <v>803</v>
      </c>
      <c r="I92" s="1" t="s">
        <v>580</v>
      </c>
    </row>
    <row r="93" spans="1:9" x14ac:dyDescent="0.25">
      <c r="A93" s="1" t="s">
        <v>609</v>
      </c>
      <c r="B93" s="1" t="s">
        <v>798</v>
      </c>
      <c r="C93" s="1" t="s">
        <v>14</v>
      </c>
      <c r="D93" s="1" t="s">
        <v>182</v>
      </c>
      <c r="E93" s="1" t="s">
        <v>812</v>
      </c>
      <c r="F93" s="1" t="s">
        <v>253</v>
      </c>
      <c r="G93" s="1" t="s">
        <v>810</v>
      </c>
      <c r="H93" s="1" t="s">
        <v>803</v>
      </c>
      <c r="I93" s="1" t="s">
        <v>580</v>
      </c>
    </row>
    <row r="94" spans="1:9" x14ac:dyDescent="0.25">
      <c r="A94" s="1" t="s">
        <v>610</v>
      </c>
      <c r="B94" s="1" t="s">
        <v>798</v>
      </c>
      <c r="C94" s="1" t="s">
        <v>14</v>
      </c>
      <c r="D94" s="1" t="s">
        <v>182</v>
      </c>
      <c r="E94" s="1" t="s">
        <v>812</v>
      </c>
      <c r="F94" s="1" t="s">
        <v>253</v>
      </c>
      <c r="G94" s="1" t="s">
        <v>810</v>
      </c>
      <c r="H94" s="1" t="s">
        <v>803</v>
      </c>
      <c r="I94" s="1" t="s">
        <v>589</v>
      </c>
    </row>
    <row r="95" spans="1:9" x14ac:dyDescent="0.25">
      <c r="A95" s="1" t="s">
        <v>613</v>
      </c>
      <c r="B95" s="1" t="s">
        <v>798</v>
      </c>
      <c r="C95" s="1" t="s">
        <v>14</v>
      </c>
      <c r="D95" s="1" t="s">
        <v>801</v>
      </c>
      <c r="E95" s="1" t="s">
        <v>812</v>
      </c>
      <c r="F95" s="1" t="s">
        <v>253</v>
      </c>
      <c r="G95" s="1" t="s">
        <v>808</v>
      </c>
      <c r="H95" s="1" t="s">
        <v>803</v>
      </c>
      <c r="I95" s="1" t="s">
        <v>604</v>
      </c>
    </row>
    <row r="96" spans="1:9" x14ac:dyDescent="0.25">
      <c r="A96" s="1" t="s">
        <v>614</v>
      </c>
      <c r="B96" s="1" t="s">
        <v>798</v>
      </c>
      <c r="C96" s="1" t="s">
        <v>14</v>
      </c>
      <c r="D96" s="1" t="s">
        <v>801</v>
      </c>
      <c r="E96" s="1" t="s">
        <v>812</v>
      </c>
      <c r="F96" s="1" t="s">
        <v>253</v>
      </c>
      <c r="G96" s="1" t="s">
        <v>804</v>
      </c>
      <c r="H96" s="1" t="s">
        <v>803</v>
      </c>
      <c r="I96" s="1" t="s">
        <v>578</v>
      </c>
    </row>
    <row r="97" spans="1:9" x14ac:dyDescent="0.25">
      <c r="A97" s="1" t="s">
        <v>615</v>
      </c>
      <c r="B97" s="1" t="s">
        <v>798</v>
      </c>
      <c r="C97" s="1" t="s">
        <v>14</v>
      </c>
      <c r="D97" s="1" t="s">
        <v>801</v>
      </c>
      <c r="E97" s="1" t="s">
        <v>812</v>
      </c>
      <c r="F97" s="1" t="s">
        <v>253</v>
      </c>
      <c r="G97" s="1" t="s">
        <v>805</v>
      </c>
      <c r="H97" s="1" t="s">
        <v>803</v>
      </c>
      <c r="I97" s="1" t="s">
        <v>793</v>
      </c>
    </row>
    <row r="98" spans="1:9" x14ac:dyDescent="0.25">
      <c r="A98" s="1" t="s">
        <v>616</v>
      </c>
      <c r="B98" s="1" t="s">
        <v>798</v>
      </c>
      <c r="C98" s="1" t="s">
        <v>14</v>
      </c>
      <c r="D98" s="1" t="s">
        <v>182</v>
      </c>
      <c r="E98" s="1" t="s">
        <v>812</v>
      </c>
      <c r="F98" s="1" t="s">
        <v>253</v>
      </c>
      <c r="G98" s="1" t="s">
        <v>810</v>
      </c>
      <c r="H98" s="1" t="s">
        <v>803</v>
      </c>
      <c r="I98" s="1" t="s">
        <v>580</v>
      </c>
    </row>
    <row r="99" spans="1:9" x14ac:dyDescent="0.25">
      <c r="A99" s="1" t="s">
        <v>617</v>
      </c>
      <c r="B99" s="1" t="s">
        <v>798</v>
      </c>
      <c r="C99" s="1" t="s">
        <v>14</v>
      </c>
      <c r="D99" s="1" t="s">
        <v>801</v>
      </c>
      <c r="E99" s="1" t="s">
        <v>812</v>
      </c>
      <c r="F99" s="1" t="s">
        <v>253</v>
      </c>
      <c r="G99" s="1" t="s">
        <v>808</v>
      </c>
      <c r="H99" s="1" t="s">
        <v>803</v>
      </c>
      <c r="I99" s="1" t="s">
        <v>604</v>
      </c>
    </row>
    <row r="100" spans="1:9" x14ac:dyDescent="0.25">
      <c r="A100" s="1" t="s">
        <v>618</v>
      </c>
      <c r="B100" s="1" t="s">
        <v>798</v>
      </c>
      <c r="C100" s="1" t="s">
        <v>14</v>
      </c>
      <c r="D100" s="1" t="s">
        <v>801</v>
      </c>
      <c r="E100" s="1" t="s">
        <v>812</v>
      </c>
      <c r="F100" s="1" t="s">
        <v>253</v>
      </c>
      <c r="G100" s="1" t="s">
        <v>808</v>
      </c>
      <c r="H100" s="1" t="s">
        <v>803</v>
      </c>
      <c r="I100" s="1" t="s">
        <v>604</v>
      </c>
    </row>
    <row r="101" spans="1:9" x14ac:dyDescent="0.25">
      <c r="A101" s="1" t="s">
        <v>619</v>
      </c>
      <c r="B101" s="1" t="s">
        <v>798</v>
      </c>
      <c r="C101" s="1" t="s">
        <v>14</v>
      </c>
      <c r="D101" s="1" t="s">
        <v>801</v>
      </c>
      <c r="E101" s="1" t="s">
        <v>812</v>
      </c>
      <c r="F101" s="1" t="s">
        <v>253</v>
      </c>
      <c r="G101" s="1" t="s">
        <v>805</v>
      </c>
      <c r="H101" s="1" t="s">
        <v>803</v>
      </c>
      <c r="I101" s="1" t="s">
        <v>793</v>
      </c>
    </row>
    <row r="102" spans="1:9" x14ac:dyDescent="0.25">
      <c r="A102" s="1" t="s">
        <v>620</v>
      </c>
      <c r="B102" s="1" t="s">
        <v>798</v>
      </c>
      <c r="C102" s="1" t="s">
        <v>14</v>
      </c>
      <c r="D102" s="1" t="s">
        <v>182</v>
      </c>
      <c r="E102" s="1" t="s">
        <v>812</v>
      </c>
      <c r="F102" s="1" t="s">
        <v>253</v>
      </c>
      <c r="G102" s="1" t="s">
        <v>802</v>
      </c>
      <c r="H102" s="1" t="s">
        <v>803</v>
      </c>
      <c r="I102" s="1" t="s">
        <v>607</v>
      </c>
    </row>
    <row r="103" spans="1:9" x14ac:dyDescent="0.25">
      <c r="A103" s="1" t="s">
        <v>621</v>
      </c>
      <c r="B103" s="1" t="s">
        <v>798</v>
      </c>
      <c r="C103" s="1" t="s">
        <v>14</v>
      </c>
      <c r="D103" s="1" t="s">
        <v>182</v>
      </c>
      <c r="E103" s="1" t="s">
        <v>812</v>
      </c>
      <c r="F103" s="1" t="s">
        <v>253</v>
      </c>
      <c r="G103" s="1" t="s">
        <v>810</v>
      </c>
      <c r="H103" s="1" t="s">
        <v>803</v>
      </c>
      <c r="I103" s="1" t="s">
        <v>580</v>
      </c>
    </row>
    <row r="104" spans="1:9" x14ac:dyDescent="0.25">
      <c r="A104" s="1" t="s">
        <v>622</v>
      </c>
      <c r="B104" s="1" t="s">
        <v>798</v>
      </c>
      <c r="C104" s="1" t="s">
        <v>14</v>
      </c>
      <c r="D104" s="1" t="s">
        <v>801</v>
      </c>
      <c r="E104" s="1" t="s">
        <v>812</v>
      </c>
      <c r="F104" s="1" t="s">
        <v>253</v>
      </c>
      <c r="G104" s="1" t="s">
        <v>805</v>
      </c>
      <c r="H104" s="1" t="s">
        <v>803</v>
      </c>
      <c r="I104" s="1" t="s">
        <v>793</v>
      </c>
    </row>
    <row r="105" spans="1:9" x14ac:dyDescent="0.25">
      <c r="A105" s="1" t="s">
        <v>623</v>
      </c>
      <c r="B105" s="1" t="s">
        <v>798</v>
      </c>
      <c r="C105" s="1" t="s">
        <v>14</v>
      </c>
      <c r="D105" s="1" t="s">
        <v>801</v>
      </c>
      <c r="E105" s="1" t="s">
        <v>812</v>
      </c>
      <c r="F105" s="1" t="s">
        <v>253</v>
      </c>
      <c r="G105" s="1" t="s">
        <v>805</v>
      </c>
      <c r="H105" s="1" t="s">
        <v>803</v>
      </c>
      <c r="I105" s="1" t="s">
        <v>793</v>
      </c>
    </row>
    <row r="106" spans="1:9" x14ac:dyDescent="0.25">
      <c r="A106" s="1" t="s">
        <v>624</v>
      </c>
      <c r="B106" s="1" t="s">
        <v>798</v>
      </c>
      <c r="C106" s="1" t="s">
        <v>14</v>
      </c>
      <c r="D106" s="1" t="s">
        <v>182</v>
      </c>
      <c r="E106" s="1" t="s">
        <v>812</v>
      </c>
      <c r="F106" s="1" t="s">
        <v>253</v>
      </c>
      <c r="G106" s="1" t="s">
        <v>807</v>
      </c>
      <c r="H106" s="1" t="s">
        <v>803</v>
      </c>
      <c r="I106" s="1" t="s">
        <v>784</v>
      </c>
    </row>
    <row r="107" spans="1:9" x14ac:dyDescent="0.25">
      <c r="A107" s="1" t="s">
        <v>625</v>
      </c>
      <c r="B107" s="1" t="s">
        <v>798</v>
      </c>
      <c r="C107" s="1" t="s">
        <v>14</v>
      </c>
      <c r="D107" s="1" t="s">
        <v>801</v>
      </c>
      <c r="E107" s="1" t="s">
        <v>812</v>
      </c>
      <c r="F107" s="1" t="s">
        <v>253</v>
      </c>
      <c r="G107" s="1" t="s">
        <v>805</v>
      </c>
      <c r="H107" s="1" t="s">
        <v>803</v>
      </c>
      <c r="I107" s="1" t="s">
        <v>793</v>
      </c>
    </row>
    <row r="108" spans="1:9" x14ac:dyDescent="0.25">
      <c r="A108" s="1" t="s">
        <v>627</v>
      </c>
      <c r="B108" s="1" t="s">
        <v>798</v>
      </c>
      <c r="C108" s="1" t="s">
        <v>14</v>
      </c>
      <c r="D108" s="1" t="s">
        <v>801</v>
      </c>
      <c r="E108" s="1" t="s">
        <v>812</v>
      </c>
      <c r="F108" s="1" t="s">
        <v>253</v>
      </c>
      <c r="G108" s="1" t="s">
        <v>805</v>
      </c>
      <c r="H108" s="1" t="s">
        <v>803</v>
      </c>
      <c r="I108" s="1" t="s">
        <v>793</v>
      </c>
    </row>
    <row r="109" spans="1:9" x14ac:dyDescent="0.25">
      <c r="A109" s="1" t="s">
        <v>630</v>
      </c>
      <c r="B109" s="1" t="s">
        <v>798</v>
      </c>
      <c r="C109" s="1" t="s">
        <v>14</v>
      </c>
      <c r="D109" s="1" t="s">
        <v>801</v>
      </c>
      <c r="E109" s="1" t="s">
        <v>812</v>
      </c>
      <c r="F109" s="1" t="s">
        <v>253</v>
      </c>
      <c r="G109" s="1" t="s">
        <v>805</v>
      </c>
      <c r="H109" s="1" t="s">
        <v>803</v>
      </c>
      <c r="I109" s="1" t="s">
        <v>793</v>
      </c>
    </row>
    <row r="110" spans="1:9" x14ac:dyDescent="0.25">
      <c r="A110" s="1" t="s">
        <v>631</v>
      </c>
      <c r="B110" s="1" t="s">
        <v>798</v>
      </c>
      <c r="C110" s="1" t="s">
        <v>14</v>
      </c>
      <c r="D110" s="1" t="s">
        <v>801</v>
      </c>
      <c r="E110" s="1" t="s">
        <v>812</v>
      </c>
      <c r="F110" s="1" t="s">
        <v>253</v>
      </c>
      <c r="G110" s="1" t="s">
        <v>805</v>
      </c>
      <c r="H110" s="1" t="s">
        <v>803</v>
      </c>
      <c r="I110" s="1" t="s">
        <v>793</v>
      </c>
    </row>
    <row r="111" spans="1:9" x14ac:dyDescent="0.25">
      <c r="A111" s="1" t="s">
        <v>632</v>
      </c>
      <c r="B111" s="1" t="s">
        <v>798</v>
      </c>
      <c r="C111" s="1" t="s">
        <v>14</v>
      </c>
      <c r="D111" s="1" t="s">
        <v>182</v>
      </c>
      <c r="E111" s="1" t="s">
        <v>812</v>
      </c>
      <c r="F111" s="1" t="s">
        <v>253</v>
      </c>
      <c r="G111" s="1" t="s">
        <v>810</v>
      </c>
      <c r="H111" s="1" t="s">
        <v>803</v>
      </c>
      <c r="I111" s="1" t="s">
        <v>589</v>
      </c>
    </row>
    <row r="112" spans="1:9" x14ac:dyDescent="0.25">
      <c r="A112" s="1" t="s">
        <v>633</v>
      </c>
      <c r="B112" s="1" t="s">
        <v>798</v>
      </c>
      <c r="C112" s="1" t="s">
        <v>14</v>
      </c>
      <c r="D112" s="1" t="s">
        <v>801</v>
      </c>
      <c r="E112" s="1" t="s">
        <v>812</v>
      </c>
      <c r="F112" s="1" t="s">
        <v>253</v>
      </c>
      <c r="G112" s="1" t="s">
        <v>808</v>
      </c>
      <c r="H112" s="1" t="s">
        <v>803</v>
      </c>
      <c r="I112" s="1" t="s">
        <v>604</v>
      </c>
    </row>
    <row r="113" spans="1:9" x14ac:dyDescent="0.25">
      <c r="A113" s="1" t="s">
        <v>634</v>
      </c>
      <c r="B113" s="1" t="s">
        <v>798</v>
      </c>
      <c r="C113" s="1" t="s">
        <v>273</v>
      </c>
      <c r="D113" s="1" t="s">
        <v>182</v>
      </c>
      <c r="E113" s="1" t="s">
        <v>812</v>
      </c>
      <c r="F113" s="1" t="s">
        <v>253</v>
      </c>
      <c r="G113" s="1" t="s">
        <v>802</v>
      </c>
      <c r="H113" s="1" t="s">
        <v>803</v>
      </c>
      <c r="I113" s="1" t="s">
        <v>272</v>
      </c>
    </row>
    <row r="114" spans="1:9" x14ac:dyDescent="0.25">
      <c r="A114" s="1" t="s">
        <v>635</v>
      </c>
      <c r="B114" s="1" t="s">
        <v>798</v>
      </c>
      <c r="C114" s="1" t="s">
        <v>14</v>
      </c>
      <c r="D114" s="1" t="s">
        <v>182</v>
      </c>
      <c r="E114" s="1" t="s">
        <v>812</v>
      </c>
      <c r="F114" s="1" t="s">
        <v>253</v>
      </c>
      <c r="G114" s="1" t="s">
        <v>810</v>
      </c>
      <c r="H114" s="1" t="s">
        <v>803</v>
      </c>
      <c r="I114" s="1" t="s">
        <v>580</v>
      </c>
    </row>
    <row r="115" spans="1:9" x14ac:dyDescent="0.25">
      <c r="A115" s="1" t="s">
        <v>636</v>
      </c>
      <c r="B115" s="1" t="s">
        <v>798</v>
      </c>
      <c r="C115" s="1" t="s">
        <v>14</v>
      </c>
      <c r="D115" s="1" t="s">
        <v>182</v>
      </c>
      <c r="E115" s="1" t="s">
        <v>812</v>
      </c>
      <c r="F115" s="1" t="s">
        <v>253</v>
      </c>
      <c r="G115" s="1" t="s">
        <v>810</v>
      </c>
      <c r="H115" s="1" t="s">
        <v>803</v>
      </c>
      <c r="I115" s="1" t="s">
        <v>580</v>
      </c>
    </row>
    <row r="116" spans="1:9" x14ac:dyDescent="0.25">
      <c r="A116" s="1" t="s">
        <v>637</v>
      </c>
      <c r="B116" s="1" t="s">
        <v>798</v>
      </c>
      <c r="C116" s="1" t="s">
        <v>14</v>
      </c>
      <c r="D116" s="1" t="s">
        <v>182</v>
      </c>
      <c r="E116" s="1" t="s">
        <v>812</v>
      </c>
      <c r="F116" s="1" t="s">
        <v>253</v>
      </c>
      <c r="G116" s="1" t="s">
        <v>815</v>
      </c>
      <c r="H116" s="1" t="s">
        <v>803</v>
      </c>
      <c r="I116" s="1" t="s">
        <v>548</v>
      </c>
    </row>
    <row r="117" spans="1:9" x14ac:dyDescent="0.25">
      <c r="A117" s="1" t="s">
        <v>638</v>
      </c>
      <c r="B117" s="1" t="s">
        <v>798</v>
      </c>
      <c r="C117" s="1" t="s">
        <v>14</v>
      </c>
      <c r="D117" s="1" t="s">
        <v>182</v>
      </c>
      <c r="E117" s="1" t="s">
        <v>812</v>
      </c>
      <c r="F117" s="1" t="s">
        <v>253</v>
      </c>
      <c r="G117" s="1" t="s">
        <v>807</v>
      </c>
      <c r="H117" s="1" t="s">
        <v>803</v>
      </c>
      <c r="I117" s="1" t="s">
        <v>784</v>
      </c>
    </row>
    <row r="118" spans="1:9" x14ac:dyDescent="0.25">
      <c r="A118" s="1" t="s">
        <v>639</v>
      </c>
      <c r="B118" s="1" t="s">
        <v>798</v>
      </c>
      <c r="C118" s="1" t="s">
        <v>14</v>
      </c>
      <c r="D118" s="1" t="s">
        <v>204</v>
      </c>
      <c r="E118" s="1" t="s">
        <v>812</v>
      </c>
      <c r="F118" s="1" t="s">
        <v>253</v>
      </c>
      <c r="G118" s="1" t="s">
        <v>818</v>
      </c>
      <c r="H118" s="1" t="s">
        <v>803</v>
      </c>
      <c r="I118" s="1" t="s">
        <v>639</v>
      </c>
    </row>
    <row r="119" spans="1:9" x14ac:dyDescent="0.25">
      <c r="A119" s="1" t="s">
        <v>641</v>
      </c>
      <c r="B119" s="1" t="s">
        <v>798</v>
      </c>
      <c r="C119" s="1" t="s">
        <v>14</v>
      </c>
      <c r="D119" s="1" t="s">
        <v>182</v>
      </c>
      <c r="E119" s="1" t="s">
        <v>812</v>
      </c>
      <c r="F119" s="1" t="s">
        <v>253</v>
      </c>
      <c r="G119" s="1" t="s">
        <v>807</v>
      </c>
      <c r="H119" s="1" t="s">
        <v>803</v>
      </c>
      <c r="I119" s="1" t="s">
        <v>784</v>
      </c>
    </row>
    <row r="120" spans="1:9" x14ac:dyDescent="0.25">
      <c r="A120" s="1" t="s">
        <v>642</v>
      </c>
      <c r="B120" s="1" t="s">
        <v>798</v>
      </c>
      <c r="C120" s="1" t="s">
        <v>14</v>
      </c>
      <c r="D120" s="1" t="s">
        <v>801</v>
      </c>
      <c r="E120" s="1" t="s">
        <v>812</v>
      </c>
      <c r="F120" s="1" t="s">
        <v>253</v>
      </c>
      <c r="G120" s="1" t="s">
        <v>804</v>
      </c>
      <c r="H120" s="1" t="s">
        <v>803</v>
      </c>
      <c r="I120" s="1" t="s">
        <v>578</v>
      </c>
    </row>
    <row r="121" spans="1:9" x14ac:dyDescent="0.25">
      <c r="A121" s="1" t="s">
        <v>643</v>
      </c>
      <c r="B121" s="1" t="s">
        <v>798</v>
      </c>
      <c r="C121" s="1" t="s">
        <v>14</v>
      </c>
      <c r="D121" s="1" t="s">
        <v>801</v>
      </c>
      <c r="E121" s="1" t="s">
        <v>812</v>
      </c>
      <c r="F121" s="1" t="s">
        <v>253</v>
      </c>
      <c r="G121" s="1" t="s">
        <v>808</v>
      </c>
      <c r="H121" s="1" t="s">
        <v>803</v>
      </c>
      <c r="I121" s="1" t="s">
        <v>604</v>
      </c>
    </row>
    <row r="122" spans="1:9" x14ac:dyDescent="0.25">
      <c r="A122" s="1" t="s">
        <v>644</v>
      </c>
      <c r="B122" s="1" t="s">
        <v>798</v>
      </c>
      <c r="C122" s="1" t="s">
        <v>14</v>
      </c>
      <c r="D122" s="1" t="s">
        <v>801</v>
      </c>
      <c r="E122" s="1" t="s">
        <v>812</v>
      </c>
      <c r="F122" s="1" t="s">
        <v>253</v>
      </c>
      <c r="G122" s="1" t="s">
        <v>808</v>
      </c>
      <c r="H122" s="1" t="s">
        <v>803</v>
      </c>
      <c r="I122" s="1" t="s">
        <v>604</v>
      </c>
    </row>
    <row r="123" spans="1:9" x14ac:dyDescent="0.25">
      <c r="A123" s="1" t="s">
        <v>646</v>
      </c>
      <c r="B123" s="1" t="s">
        <v>798</v>
      </c>
      <c r="C123" s="1" t="s">
        <v>14</v>
      </c>
      <c r="D123" s="1" t="s">
        <v>182</v>
      </c>
      <c r="E123" s="1" t="s">
        <v>812</v>
      </c>
      <c r="F123" s="1" t="s">
        <v>253</v>
      </c>
      <c r="G123" s="1" t="s">
        <v>810</v>
      </c>
      <c r="H123" s="1" t="s">
        <v>803</v>
      </c>
      <c r="I123" s="1" t="s">
        <v>580</v>
      </c>
    </row>
    <row r="124" spans="1:9" x14ac:dyDescent="0.25">
      <c r="A124" s="1" t="s">
        <v>647</v>
      </c>
      <c r="B124" s="1" t="s">
        <v>798</v>
      </c>
      <c r="C124" s="1" t="s">
        <v>14</v>
      </c>
      <c r="D124" s="1" t="s">
        <v>801</v>
      </c>
      <c r="E124" s="1" t="s">
        <v>812</v>
      </c>
      <c r="F124" s="1" t="s">
        <v>253</v>
      </c>
      <c r="G124" s="1" t="s">
        <v>808</v>
      </c>
      <c r="H124" s="1" t="s">
        <v>803</v>
      </c>
      <c r="I124" s="1" t="s">
        <v>604</v>
      </c>
    </row>
    <row r="125" spans="1:9" x14ac:dyDescent="0.25">
      <c r="A125" s="1" t="s">
        <v>648</v>
      </c>
      <c r="B125" s="1" t="s">
        <v>798</v>
      </c>
      <c r="C125" s="1" t="s">
        <v>14</v>
      </c>
      <c r="D125" s="1" t="s">
        <v>801</v>
      </c>
      <c r="E125" s="1" t="s">
        <v>812</v>
      </c>
      <c r="F125" s="1" t="s">
        <v>253</v>
      </c>
      <c r="G125" s="1" t="s">
        <v>804</v>
      </c>
      <c r="H125" s="1" t="s">
        <v>803</v>
      </c>
      <c r="I125" s="1" t="s">
        <v>578</v>
      </c>
    </row>
    <row r="126" spans="1:9" x14ac:dyDescent="0.25">
      <c r="A126" s="1" t="s">
        <v>650</v>
      </c>
      <c r="B126" s="1" t="s">
        <v>798</v>
      </c>
      <c r="C126" s="1" t="s">
        <v>14</v>
      </c>
      <c r="D126" s="1" t="s">
        <v>182</v>
      </c>
      <c r="E126" s="1" t="s">
        <v>812</v>
      </c>
      <c r="F126" s="1" t="s">
        <v>253</v>
      </c>
      <c r="G126" s="1" t="s">
        <v>817</v>
      </c>
      <c r="H126" s="1" t="s">
        <v>803</v>
      </c>
      <c r="I126" s="1" t="s">
        <v>747</v>
      </c>
    </row>
    <row r="127" spans="1:9" x14ac:dyDescent="0.25">
      <c r="A127" s="1" t="s">
        <v>651</v>
      </c>
      <c r="B127" s="1" t="s">
        <v>798</v>
      </c>
      <c r="C127" s="1" t="s">
        <v>14</v>
      </c>
      <c r="D127" s="1" t="s">
        <v>182</v>
      </c>
      <c r="E127" s="1" t="s">
        <v>812</v>
      </c>
      <c r="F127" s="1" t="s">
        <v>253</v>
      </c>
      <c r="G127" s="1" t="s">
        <v>810</v>
      </c>
      <c r="H127" s="1" t="s">
        <v>803</v>
      </c>
      <c r="I127" s="1" t="s">
        <v>580</v>
      </c>
    </row>
    <row r="128" spans="1:9" x14ac:dyDescent="0.25">
      <c r="A128" s="1" t="s">
        <v>654</v>
      </c>
      <c r="B128" s="1" t="s">
        <v>798</v>
      </c>
      <c r="C128" s="1" t="s">
        <v>14</v>
      </c>
      <c r="D128" s="1" t="s">
        <v>801</v>
      </c>
      <c r="E128" s="1" t="s">
        <v>812</v>
      </c>
      <c r="F128" s="1" t="s">
        <v>253</v>
      </c>
      <c r="G128" s="1" t="s">
        <v>805</v>
      </c>
      <c r="H128" s="1" t="s">
        <v>803</v>
      </c>
      <c r="I128" s="1" t="s">
        <v>793</v>
      </c>
    </row>
    <row r="129" spans="1:9" x14ac:dyDescent="0.25">
      <c r="A129" s="1" t="s">
        <v>655</v>
      </c>
      <c r="B129" s="1" t="s">
        <v>798</v>
      </c>
      <c r="C129" s="1" t="s">
        <v>14</v>
      </c>
      <c r="D129" s="1" t="s">
        <v>801</v>
      </c>
      <c r="E129" s="1" t="s">
        <v>812</v>
      </c>
      <c r="F129" s="1" t="s">
        <v>253</v>
      </c>
      <c r="G129" s="1" t="s">
        <v>808</v>
      </c>
      <c r="H129" s="1" t="s">
        <v>803</v>
      </c>
      <c r="I129" s="1" t="s">
        <v>604</v>
      </c>
    </row>
    <row r="130" spans="1:9" x14ac:dyDescent="0.25">
      <c r="A130" s="1" t="s">
        <v>656</v>
      </c>
      <c r="B130" s="1" t="s">
        <v>798</v>
      </c>
      <c r="C130" s="1" t="s">
        <v>14</v>
      </c>
      <c r="D130" s="1" t="s">
        <v>182</v>
      </c>
      <c r="E130" s="1" t="s">
        <v>812</v>
      </c>
      <c r="F130" s="1" t="s">
        <v>253</v>
      </c>
      <c r="G130" s="1" t="s">
        <v>810</v>
      </c>
      <c r="H130" s="1" t="s">
        <v>803</v>
      </c>
      <c r="I130" s="1" t="s">
        <v>589</v>
      </c>
    </row>
    <row r="131" spans="1:9" x14ac:dyDescent="0.25">
      <c r="A131" s="1" t="s">
        <v>657</v>
      </c>
      <c r="B131" s="1" t="s">
        <v>798</v>
      </c>
      <c r="C131" s="1" t="s">
        <v>14</v>
      </c>
      <c r="D131" s="1" t="s">
        <v>799</v>
      </c>
      <c r="E131" s="1" t="s">
        <v>417</v>
      </c>
      <c r="F131" s="1" t="s">
        <v>417</v>
      </c>
      <c r="G131" s="1" t="s">
        <v>806</v>
      </c>
      <c r="H131" s="1" t="s">
        <v>803</v>
      </c>
      <c r="I131" s="1" t="s">
        <v>288</v>
      </c>
    </row>
    <row r="132" spans="1:9" x14ac:dyDescent="0.25">
      <c r="A132" s="1" t="s">
        <v>660</v>
      </c>
      <c r="B132" s="1" t="s">
        <v>798</v>
      </c>
      <c r="C132" s="1" t="s">
        <v>14</v>
      </c>
      <c r="D132" s="1" t="s">
        <v>182</v>
      </c>
      <c r="E132" s="1" t="s">
        <v>417</v>
      </c>
      <c r="F132" s="1" t="s">
        <v>417</v>
      </c>
      <c r="G132" s="1" t="s">
        <v>807</v>
      </c>
      <c r="H132" s="1" t="s">
        <v>803</v>
      </c>
      <c r="I132" s="1" t="s">
        <v>784</v>
      </c>
    </row>
    <row r="133" spans="1:9" x14ac:dyDescent="0.25">
      <c r="A133" s="1" t="s">
        <v>661</v>
      </c>
      <c r="B133" s="1" t="s">
        <v>798</v>
      </c>
      <c r="C133" s="1" t="s">
        <v>14</v>
      </c>
      <c r="D133" s="1" t="s">
        <v>799</v>
      </c>
      <c r="E133" s="1" t="s">
        <v>417</v>
      </c>
      <c r="F133" s="1" t="s">
        <v>417</v>
      </c>
      <c r="G133" s="1" t="s">
        <v>805</v>
      </c>
      <c r="H133" s="1" t="s">
        <v>803</v>
      </c>
      <c r="I133" s="1" t="s">
        <v>291</v>
      </c>
    </row>
    <row r="134" spans="1:9" x14ac:dyDescent="0.25">
      <c r="A134" s="1" t="s">
        <v>662</v>
      </c>
      <c r="B134" s="1" t="s">
        <v>798</v>
      </c>
      <c r="C134" s="1" t="s">
        <v>14</v>
      </c>
      <c r="D134" s="1" t="s">
        <v>799</v>
      </c>
      <c r="E134" s="1" t="s">
        <v>417</v>
      </c>
      <c r="F134" s="1" t="s">
        <v>417</v>
      </c>
      <c r="G134" s="1" t="s">
        <v>805</v>
      </c>
      <c r="H134" s="1" t="s">
        <v>803</v>
      </c>
      <c r="I134" s="1" t="s">
        <v>292</v>
      </c>
    </row>
    <row r="135" spans="1:9" x14ac:dyDescent="0.25">
      <c r="A135" s="1" t="s">
        <v>663</v>
      </c>
      <c r="B135" s="1" t="s">
        <v>798</v>
      </c>
      <c r="C135" s="1" t="s">
        <v>14</v>
      </c>
      <c r="D135" s="1" t="s">
        <v>799</v>
      </c>
      <c r="E135" s="1" t="s">
        <v>417</v>
      </c>
      <c r="F135" s="1" t="s">
        <v>417</v>
      </c>
      <c r="G135" s="1" t="s">
        <v>806</v>
      </c>
      <c r="H135" s="1" t="s">
        <v>803</v>
      </c>
      <c r="I135" s="1" t="s">
        <v>547</v>
      </c>
    </row>
    <row r="136" spans="1:9" x14ac:dyDescent="0.25">
      <c r="A136" s="1" t="s">
        <v>664</v>
      </c>
      <c r="B136" s="1" t="s">
        <v>798</v>
      </c>
      <c r="C136" s="1" t="s">
        <v>14</v>
      </c>
      <c r="D136" s="1" t="s">
        <v>801</v>
      </c>
      <c r="E136" s="1" t="s">
        <v>417</v>
      </c>
      <c r="F136" s="1" t="s">
        <v>417</v>
      </c>
      <c r="G136" s="1" t="s">
        <v>808</v>
      </c>
      <c r="H136" s="1" t="s">
        <v>803</v>
      </c>
      <c r="I136" s="1" t="s">
        <v>604</v>
      </c>
    </row>
    <row r="137" spans="1:9" x14ac:dyDescent="0.25">
      <c r="A137" s="1" t="s">
        <v>665</v>
      </c>
      <c r="B137" s="1" t="s">
        <v>798</v>
      </c>
      <c r="C137" s="1" t="s">
        <v>14</v>
      </c>
      <c r="D137" s="1" t="s">
        <v>799</v>
      </c>
      <c r="E137" s="1" t="s">
        <v>417</v>
      </c>
      <c r="F137" s="1" t="s">
        <v>417</v>
      </c>
      <c r="G137" s="1" t="s">
        <v>806</v>
      </c>
      <c r="H137" s="1" t="s">
        <v>803</v>
      </c>
      <c r="I137" s="1" t="s">
        <v>547</v>
      </c>
    </row>
    <row r="138" spans="1:9" x14ac:dyDescent="0.25">
      <c r="A138" s="1" t="s">
        <v>666</v>
      </c>
      <c r="B138" s="1" t="s">
        <v>798</v>
      </c>
      <c r="C138" s="1" t="s">
        <v>14</v>
      </c>
      <c r="D138" s="1" t="s">
        <v>799</v>
      </c>
      <c r="E138" s="1" t="s">
        <v>417</v>
      </c>
      <c r="F138" s="1" t="s">
        <v>417</v>
      </c>
      <c r="G138" s="1" t="s">
        <v>806</v>
      </c>
      <c r="H138" s="1" t="s">
        <v>803</v>
      </c>
      <c r="I138" s="1" t="s">
        <v>547</v>
      </c>
    </row>
    <row r="139" spans="1:9" x14ac:dyDescent="0.25">
      <c r="A139" s="1" t="s">
        <v>667</v>
      </c>
      <c r="B139" s="1" t="s">
        <v>798</v>
      </c>
      <c r="C139" s="1" t="s">
        <v>14</v>
      </c>
      <c r="D139" s="1" t="s">
        <v>801</v>
      </c>
      <c r="E139" s="1" t="s">
        <v>417</v>
      </c>
      <c r="F139" s="1" t="s">
        <v>417</v>
      </c>
      <c r="G139" s="1" t="s">
        <v>808</v>
      </c>
      <c r="H139" s="1" t="s">
        <v>803</v>
      </c>
      <c r="I139" s="1" t="s">
        <v>604</v>
      </c>
    </row>
    <row r="140" spans="1:9" x14ac:dyDescent="0.25">
      <c r="A140" s="1" t="s">
        <v>668</v>
      </c>
      <c r="B140" s="1" t="s">
        <v>798</v>
      </c>
      <c r="C140" s="1" t="s">
        <v>14</v>
      </c>
      <c r="D140" s="1" t="s">
        <v>799</v>
      </c>
      <c r="E140" s="1" t="s">
        <v>417</v>
      </c>
      <c r="F140" s="1" t="s">
        <v>417</v>
      </c>
      <c r="G140" s="1" t="s">
        <v>807</v>
      </c>
      <c r="H140" s="1" t="s">
        <v>803</v>
      </c>
      <c r="I140" s="1" t="s">
        <v>295</v>
      </c>
    </row>
    <row r="141" spans="1:9" x14ac:dyDescent="0.25">
      <c r="A141" s="1" t="s">
        <v>669</v>
      </c>
      <c r="B141" s="1" t="s">
        <v>798</v>
      </c>
      <c r="C141" s="1" t="s">
        <v>14</v>
      </c>
      <c r="D141" s="1" t="s">
        <v>801</v>
      </c>
      <c r="E141" s="1" t="s">
        <v>417</v>
      </c>
      <c r="F141" s="1" t="s">
        <v>417</v>
      </c>
      <c r="G141" s="1" t="s">
        <v>808</v>
      </c>
      <c r="H141" s="1" t="s">
        <v>803</v>
      </c>
      <c r="I141" s="1" t="s">
        <v>604</v>
      </c>
    </row>
    <row r="142" spans="1:9" x14ac:dyDescent="0.25">
      <c r="A142" s="1" t="s">
        <v>670</v>
      </c>
      <c r="B142" s="1" t="s">
        <v>798</v>
      </c>
      <c r="C142" s="1" t="s">
        <v>14</v>
      </c>
      <c r="D142" s="1" t="s">
        <v>799</v>
      </c>
      <c r="E142" s="1" t="s">
        <v>417</v>
      </c>
      <c r="F142" s="1" t="s">
        <v>417</v>
      </c>
      <c r="G142" s="1" t="s">
        <v>809</v>
      </c>
      <c r="H142" s="1" t="s">
        <v>803</v>
      </c>
      <c r="I142" s="1" t="s">
        <v>294</v>
      </c>
    </row>
    <row r="143" spans="1:9" x14ac:dyDescent="0.25">
      <c r="A143" s="1" t="s">
        <v>672</v>
      </c>
      <c r="B143" s="1" t="s">
        <v>798</v>
      </c>
      <c r="C143" s="1" t="s">
        <v>14</v>
      </c>
      <c r="D143" s="1" t="s">
        <v>801</v>
      </c>
      <c r="E143" s="1" t="s">
        <v>417</v>
      </c>
      <c r="F143" s="1" t="s">
        <v>417</v>
      </c>
      <c r="G143" s="1" t="s">
        <v>808</v>
      </c>
      <c r="H143" s="1" t="s">
        <v>803</v>
      </c>
      <c r="I143" s="1" t="s">
        <v>604</v>
      </c>
    </row>
    <row r="144" spans="1:9" x14ac:dyDescent="0.25">
      <c r="A144" s="1" t="s">
        <v>676</v>
      </c>
      <c r="B144" s="1" t="s">
        <v>798</v>
      </c>
      <c r="C144" s="1" t="s">
        <v>14</v>
      </c>
      <c r="D144" s="1" t="s">
        <v>799</v>
      </c>
      <c r="E144" s="1" t="s">
        <v>417</v>
      </c>
      <c r="F144" s="1" t="s">
        <v>417</v>
      </c>
      <c r="G144" s="1" t="s">
        <v>809</v>
      </c>
      <c r="H144" s="1" t="s">
        <v>803</v>
      </c>
      <c r="I144" s="1" t="s">
        <v>293</v>
      </c>
    </row>
    <row r="145" spans="1:9" x14ac:dyDescent="0.25">
      <c r="A145" s="1" t="s">
        <v>677</v>
      </c>
      <c r="B145" s="1" t="s">
        <v>798</v>
      </c>
      <c r="C145" s="1" t="s">
        <v>14</v>
      </c>
      <c r="D145" s="1" t="s">
        <v>801</v>
      </c>
      <c r="E145" s="1" t="s">
        <v>417</v>
      </c>
      <c r="F145" s="1" t="s">
        <v>417</v>
      </c>
      <c r="G145" s="1" t="s">
        <v>808</v>
      </c>
      <c r="H145" s="1" t="s">
        <v>803</v>
      </c>
      <c r="I145" s="1" t="s">
        <v>604</v>
      </c>
    </row>
    <row r="146" spans="1:9" x14ac:dyDescent="0.25">
      <c r="A146" s="1" t="s">
        <v>678</v>
      </c>
      <c r="B146" s="1" t="s">
        <v>798</v>
      </c>
      <c r="C146" s="1" t="s">
        <v>14</v>
      </c>
      <c r="D146" s="1" t="s">
        <v>801</v>
      </c>
      <c r="E146" s="1" t="s">
        <v>417</v>
      </c>
      <c r="F146" s="1" t="s">
        <v>417</v>
      </c>
      <c r="G146" s="1" t="s">
        <v>805</v>
      </c>
      <c r="H146" s="1" t="s">
        <v>803</v>
      </c>
      <c r="I146" s="1" t="s">
        <v>793</v>
      </c>
    </row>
    <row r="147" spans="1:9" x14ac:dyDescent="0.25">
      <c r="A147" s="1" t="s">
        <v>679</v>
      </c>
      <c r="B147" s="1" t="s">
        <v>798</v>
      </c>
      <c r="C147" s="1" t="s">
        <v>14</v>
      </c>
      <c r="D147" s="1" t="s">
        <v>801</v>
      </c>
      <c r="E147" s="1" t="s">
        <v>417</v>
      </c>
      <c r="F147" s="1" t="s">
        <v>417</v>
      </c>
      <c r="G147" s="1" t="s">
        <v>805</v>
      </c>
      <c r="H147" s="1" t="s">
        <v>803</v>
      </c>
      <c r="I147" s="1" t="s">
        <v>793</v>
      </c>
    </row>
    <row r="148" spans="1:9" x14ac:dyDescent="0.25">
      <c r="A148" s="1" t="s">
        <v>680</v>
      </c>
      <c r="B148" s="1" t="s">
        <v>798</v>
      </c>
      <c r="C148" s="1" t="s">
        <v>14</v>
      </c>
      <c r="D148" s="1" t="s">
        <v>801</v>
      </c>
      <c r="E148" s="1" t="s">
        <v>417</v>
      </c>
      <c r="F148" s="1" t="s">
        <v>417</v>
      </c>
      <c r="G148" s="1" t="s">
        <v>805</v>
      </c>
      <c r="H148" s="1" t="s">
        <v>803</v>
      </c>
      <c r="I148" s="1" t="s">
        <v>793</v>
      </c>
    </row>
    <row r="149" spans="1:9" x14ac:dyDescent="0.25">
      <c r="A149" s="1" t="s">
        <v>681</v>
      </c>
      <c r="B149" s="1" t="s">
        <v>798</v>
      </c>
      <c r="C149" s="1" t="s">
        <v>14</v>
      </c>
      <c r="D149" s="1" t="s">
        <v>182</v>
      </c>
      <c r="E149" s="1" t="s">
        <v>812</v>
      </c>
      <c r="F149" s="1" t="s">
        <v>253</v>
      </c>
      <c r="G149" s="1" t="s">
        <v>810</v>
      </c>
      <c r="H149" s="1" t="s">
        <v>803</v>
      </c>
      <c r="I149" s="1" t="s">
        <v>580</v>
      </c>
    </row>
    <row r="150" spans="1:9" x14ac:dyDescent="0.25">
      <c r="A150" s="1" t="s">
        <v>682</v>
      </c>
      <c r="B150" s="1" t="s">
        <v>798</v>
      </c>
      <c r="C150" s="1" t="s">
        <v>14</v>
      </c>
      <c r="D150" s="1" t="s">
        <v>182</v>
      </c>
      <c r="E150" s="1" t="s">
        <v>812</v>
      </c>
      <c r="F150" s="1" t="s">
        <v>253</v>
      </c>
      <c r="G150" s="1" t="s">
        <v>810</v>
      </c>
      <c r="H150" s="1" t="s">
        <v>803</v>
      </c>
      <c r="I150" s="1" t="s">
        <v>580</v>
      </c>
    </row>
    <row r="151" spans="1:9" x14ac:dyDescent="0.25">
      <c r="A151" s="1" t="s">
        <v>683</v>
      </c>
      <c r="B151" s="1" t="s">
        <v>798</v>
      </c>
      <c r="C151" s="1" t="s">
        <v>14</v>
      </c>
      <c r="D151" s="1" t="s">
        <v>182</v>
      </c>
      <c r="E151" s="1" t="s">
        <v>812</v>
      </c>
      <c r="F151" s="1" t="s">
        <v>253</v>
      </c>
      <c r="G151" s="1" t="s">
        <v>810</v>
      </c>
      <c r="H151" s="1" t="s">
        <v>803</v>
      </c>
      <c r="I151" s="1" t="s">
        <v>580</v>
      </c>
    </row>
    <row r="152" spans="1:9" x14ac:dyDescent="0.25">
      <c r="A152" s="1" t="s">
        <v>684</v>
      </c>
      <c r="B152" s="1" t="s">
        <v>798</v>
      </c>
      <c r="C152" s="1" t="s">
        <v>14</v>
      </c>
      <c r="D152" s="1" t="s">
        <v>801</v>
      </c>
      <c r="E152" s="1" t="s">
        <v>417</v>
      </c>
      <c r="F152" s="1" t="s">
        <v>417</v>
      </c>
      <c r="G152" s="1" t="s">
        <v>805</v>
      </c>
      <c r="H152" s="1" t="s">
        <v>803</v>
      </c>
      <c r="I152" s="1" t="s">
        <v>793</v>
      </c>
    </row>
    <row r="153" spans="1:9" x14ac:dyDescent="0.25">
      <c r="A153" s="1" t="s">
        <v>685</v>
      </c>
      <c r="B153" s="1" t="s">
        <v>798</v>
      </c>
      <c r="C153" s="1" t="s">
        <v>14</v>
      </c>
      <c r="D153" s="1" t="s">
        <v>801</v>
      </c>
      <c r="E153" s="1" t="s">
        <v>417</v>
      </c>
      <c r="F153" s="1" t="s">
        <v>417</v>
      </c>
      <c r="G153" s="1" t="s">
        <v>805</v>
      </c>
      <c r="H153" s="1" t="s">
        <v>803</v>
      </c>
      <c r="I153" s="1" t="s">
        <v>793</v>
      </c>
    </row>
    <row r="154" spans="1:9" x14ac:dyDescent="0.25">
      <c r="A154" s="1" t="s">
        <v>686</v>
      </c>
      <c r="B154" s="1" t="s">
        <v>798</v>
      </c>
      <c r="C154" s="1" t="s">
        <v>14</v>
      </c>
      <c r="D154" s="1" t="s">
        <v>801</v>
      </c>
      <c r="E154" s="1" t="s">
        <v>812</v>
      </c>
      <c r="F154" s="1" t="s">
        <v>253</v>
      </c>
      <c r="G154" s="1" t="s">
        <v>805</v>
      </c>
      <c r="H154" s="1" t="s">
        <v>803</v>
      </c>
      <c r="I154" s="1" t="s">
        <v>793</v>
      </c>
    </row>
    <row r="155" spans="1:9" x14ac:dyDescent="0.25">
      <c r="A155" s="1" t="s">
        <v>687</v>
      </c>
      <c r="B155" s="1" t="s">
        <v>798</v>
      </c>
      <c r="C155" s="1" t="s">
        <v>14</v>
      </c>
      <c r="D155" s="1" t="s">
        <v>801</v>
      </c>
      <c r="E155" s="1" t="s">
        <v>417</v>
      </c>
      <c r="F155" s="1" t="s">
        <v>417</v>
      </c>
      <c r="G155" s="1" t="s">
        <v>805</v>
      </c>
      <c r="H155" s="1" t="s">
        <v>803</v>
      </c>
      <c r="I155" s="1" t="s">
        <v>793</v>
      </c>
    </row>
    <row r="156" spans="1:9" x14ac:dyDescent="0.25">
      <c r="A156" s="1" t="s">
        <v>688</v>
      </c>
      <c r="B156" s="1" t="s">
        <v>798</v>
      </c>
      <c r="C156" s="1" t="s">
        <v>14</v>
      </c>
      <c r="D156" s="1" t="s">
        <v>801</v>
      </c>
      <c r="E156" s="1" t="s">
        <v>417</v>
      </c>
      <c r="F156" s="1" t="s">
        <v>417</v>
      </c>
      <c r="G156" s="1" t="s">
        <v>808</v>
      </c>
      <c r="H156" s="1" t="s">
        <v>803</v>
      </c>
      <c r="I156" s="1" t="s">
        <v>604</v>
      </c>
    </row>
    <row r="157" spans="1:9" x14ac:dyDescent="0.25">
      <c r="A157" s="1" t="s">
        <v>689</v>
      </c>
      <c r="B157" s="1" t="s">
        <v>798</v>
      </c>
      <c r="C157" s="1" t="s">
        <v>14</v>
      </c>
      <c r="D157" s="1" t="s">
        <v>801</v>
      </c>
      <c r="E157" s="1" t="s">
        <v>417</v>
      </c>
      <c r="F157" s="1" t="s">
        <v>417</v>
      </c>
      <c r="G157" s="1" t="s">
        <v>808</v>
      </c>
      <c r="H157" s="1" t="s">
        <v>803</v>
      </c>
      <c r="I157" s="1" t="s">
        <v>604</v>
      </c>
    </row>
    <row r="158" spans="1:9" x14ac:dyDescent="0.25">
      <c r="A158" s="1" t="s">
        <v>690</v>
      </c>
      <c r="B158" s="1" t="s">
        <v>798</v>
      </c>
      <c r="C158" s="1" t="s">
        <v>14</v>
      </c>
      <c r="D158" s="1" t="s">
        <v>182</v>
      </c>
      <c r="E158" s="1" t="s">
        <v>417</v>
      </c>
      <c r="F158" s="1" t="s">
        <v>417</v>
      </c>
      <c r="G158" s="1" t="s">
        <v>807</v>
      </c>
      <c r="H158" s="1" t="s">
        <v>803</v>
      </c>
      <c r="I158" s="1" t="s">
        <v>784</v>
      </c>
    </row>
    <row r="159" spans="1:9" x14ac:dyDescent="0.25">
      <c r="A159" s="1" t="s">
        <v>691</v>
      </c>
      <c r="B159" s="1" t="s">
        <v>798</v>
      </c>
      <c r="C159" s="1" t="s">
        <v>14</v>
      </c>
      <c r="D159" s="1" t="s">
        <v>801</v>
      </c>
      <c r="E159" s="1" t="s">
        <v>417</v>
      </c>
      <c r="F159" s="1" t="s">
        <v>417</v>
      </c>
      <c r="G159" s="1" t="s">
        <v>805</v>
      </c>
      <c r="H159" s="1" t="s">
        <v>803</v>
      </c>
      <c r="I159" s="1" t="s">
        <v>793</v>
      </c>
    </row>
    <row r="160" spans="1:9" x14ac:dyDescent="0.25">
      <c r="A160" s="1" t="s">
        <v>692</v>
      </c>
      <c r="B160" s="1" t="s">
        <v>798</v>
      </c>
      <c r="C160" s="1" t="s">
        <v>14</v>
      </c>
      <c r="D160" s="1" t="s">
        <v>182</v>
      </c>
      <c r="E160" s="1" t="s">
        <v>417</v>
      </c>
      <c r="F160" s="1" t="s">
        <v>417</v>
      </c>
      <c r="G160" s="1" t="s">
        <v>810</v>
      </c>
      <c r="H160" s="1" t="s">
        <v>803</v>
      </c>
      <c r="I160" s="1" t="s">
        <v>580</v>
      </c>
    </row>
    <row r="161" spans="1:9" x14ac:dyDescent="0.25">
      <c r="A161" s="1" t="s">
        <v>693</v>
      </c>
      <c r="B161" s="1" t="s">
        <v>798</v>
      </c>
      <c r="C161" s="1" t="s">
        <v>14</v>
      </c>
      <c r="D161" s="1" t="s">
        <v>801</v>
      </c>
      <c r="E161" s="1" t="s">
        <v>417</v>
      </c>
      <c r="F161" s="1" t="s">
        <v>417</v>
      </c>
      <c r="G161" s="1" t="s">
        <v>804</v>
      </c>
      <c r="H161" s="1" t="s">
        <v>803</v>
      </c>
      <c r="I161" s="1" t="s">
        <v>578</v>
      </c>
    </row>
    <row r="162" spans="1:9" x14ac:dyDescent="0.25">
      <c r="A162" s="1" t="s">
        <v>695</v>
      </c>
      <c r="B162" s="1" t="s">
        <v>798</v>
      </c>
      <c r="C162" s="1" t="s">
        <v>14</v>
      </c>
      <c r="D162" s="1" t="s">
        <v>801</v>
      </c>
      <c r="E162" s="1" t="s">
        <v>812</v>
      </c>
      <c r="F162" s="1" t="s">
        <v>253</v>
      </c>
      <c r="G162" s="1" t="s">
        <v>808</v>
      </c>
      <c r="H162" s="1" t="s">
        <v>803</v>
      </c>
      <c r="I162" s="1" t="s">
        <v>604</v>
      </c>
    </row>
    <row r="163" spans="1:9" x14ac:dyDescent="0.25">
      <c r="A163" s="1" t="s">
        <v>696</v>
      </c>
      <c r="B163" s="1" t="s">
        <v>798</v>
      </c>
      <c r="C163" s="1" t="s">
        <v>14</v>
      </c>
      <c r="D163" s="1" t="s">
        <v>801</v>
      </c>
      <c r="E163" s="1" t="s">
        <v>812</v>
      </c>
      <c r="F163" s="1" t="s">
        <v>253</v>
      </c>
      <c r="G163" s="1" t="s">
        <v>808</v>
      </c>
      <c r="H163" s="1" t="s">
        <v>803</v>
      </c>
      <c r="I163" s="1" t="s">
        <v>604</v>
      </c>
    </row>
    <row r="164" spans="1:9" x14ac:dyDescent="0.25">
      <c r="A164" s="1" t="s">
        <v>697</v>
      </c>
      <c r="B164" s="1" t="s">
        <v>798</v>
      </c>
      <c r="C164" s="1" t="s">
        <v>14</v>
      </c>
      <c r="D164" s="1" t="s">
        <v>182</v>
      </c>
      <c r="E164" s="1" t="s">
        <v>812</v>
      </c>
      <c r="F164" s="1" t="s">
        <v>253</v>
      </c>
      <c r="G164" s="1" t="s">
        <v>810</v>
      </c>
      <c r="H164" s="1" t="s">
        <v>803</v>
      </c>
      <c r="I164" s="1" t="s">
        <v>589</v>
      </c>
    </row>
    <row r="165" spans="1:9" x14ac:dyDescent="0.25">
      <c r="A165" s="1" t="s">
        <v>699</v>
      </c>
      <c r="B165" s="1" t="s">
        <v>798</v>
      </c>
      <c r="C165" s="1" t="s">
        <v>14</v>
      </c>
      <c r="D165" s="1" t="s">
        <v>801</v>
      </c>
      <c r="E165" s="1" t="s">
        <v>812</v>
      </c>
      <c r="F165" s="1" t="s">
        <v>253</v>
      </c>
      <c r="G165" s="1" t="s">
        <v>808</v>
      </c>
      <c r="H165" s="1" t="s">
        <v>803</v>
      </c>
      <c r="I165" s="1" t="s">
        <v>604</v>
      </c>
    </row>
    <row r="166" spans="1:9" x14ac:dyDescent="0.25">
      <c r="A166" s="1" t="s">
        <v>700</v>
      </c>
      <c r="B166" s="1" t="s">
        <v>798</v>
      </c>
      <c r="C166" s="1" t="s">
        <v>14</v>
      </c>
      <c r="D166" s="1" t="s">
        <v>799</v>
      </c>
      <c r="E166" s="1" t="s">
        <v>417</v>
      </c>
      <c r="F166" s="1" t="s">
        <v>417</v>
      </c>
      <c r="G166" s="1" t="s">
        <v>811</v>
      </c>
      <c r="H166" s="1" t="s">
        <v>803</v>
      </c>
      <c r="I166" s="1" t="s">
        <v>285</v>
      </c>
    </row>
    <row r="167" spans="1:9" x14ac:dyDescent="0.25">
      <c r="A167" s="1" t="s">
        <v>701</v>
      </c>
      <c r="B167" s="1" t="s">
        <v>798</v>
      </c>
      <c r="C167" s="1" t="s">
        <v>14</v>
      </c>
      <c r="D167" s="1" t="s">
        <v>799</v>
      </c>
      <c r="E167" s="1" t="s">
        <v>417</v>
      </c>
      <c r="F167" s="1" t="s">
        <v>417</v>
      </c>
      <c r="G167" s="1" t="s">
        <v>811</v>
      </c>
      <c r="H167" s="1" t="s">
        <v>803</v>
      </c>
      <c r="I167" s="1" t="s">
        <v>286</v>
      </c>
    </row>
    <row r="168" spans="1:9" x14ac:dyDescent="0.25">
      <c r="A168" s="1" t="s">
        <v>702</v>
      </c>
      <c r="B168" s="1" t="s">
        <v>798</v>
      </c>
      <c r="C168" s="1" t="s">
        <v>14</v>
      </c>
      <c r="D168" s="1" t="s">
        <v>801</v>
      </c>
      <c r="E168" s="1" t="s">
        <v>417</v>
      </c>
      <c r="F168" s="1" t="s">
        <v>417</v>
      </c>
      <c r="G168" s="1" t="s">
        <v>808</v>
      </c>
      <c r="H168" s="1" t="s">
        <v>803</v>
      </c>
      <c r="I168" s="1" t="s">
        <v>604</v>
      </c>
    </row>
    <row r="169" spans="1:9" x14ac:dyDescent="0.25">
      <c r="A169" s="1" t="s">
        <v>703</v>
      </c>
      <c r="B169" s="1" t="s">
        <v>798</v>
      </c>
      <c r="C169" s="1" t="s">
        <v>14</v>
      </c>
      <c r="D169" s="1" t="s">
        <v>801</v>
      </c>
      <c r="E169" s="1" t="s">
        <v>812</v>
      </c>
      <c r="F169" s="1" t="s">
        <v>253</v>
      </c>
      <c r="G169" s="1" t="s">
        <v>808</v>
      </c>
      <c r="H169" s="1" t="s">
        <v>803</v>
      </c>
      <c r="I169" s="1" t="s">
        <v>604</v>
      </c>
    </row>
    <row r="170" spans="1:9" x14ac:dyDescent="0.25">
      <c r="A170" s="1" t="s">
        <v>704</v>
      </c>
      <c r="B170" s="1" t="s">
        <v>798</v>
      </c>
      <c r="C170" s="1" t="s">
        <v>14</v>
      </c>
      <c r="D170" s="1" t="s">
        <v>801</v>
      </c>
      <c r="E170" s="1" t="s">
        <v>812</v>
      </c>
      <c r="F170" s="1" t="s">
        <v>253</v>
      </c>
      <c r="G170" s="1" t="s">
        <v>808</v>
      </c>
      <c r="H170" s="1" t="s">
        <v>803</v>
      </c>
      <c r="I170" s="1" t="s">
        <v>604</v>
      </c>
    </row>
    <row r="171" spans="1:9" x14ac:dyDescent="0.25">
      <c r="A171" s="1" t="s">
        <v>709</v>
      </c>
      <c r="B171" s="1" t="s">
        <v>798</v>
      </c>
      <c r="C171" s="1" t="s">
        <v>14</v>
      </c>
      <c r="D171" s="1" t="s">
        <v>801</v>
      </c>
      <c r="E171" s="1" t="s">
        <v>812</v>
      </c>
      <c r="F171" s="1" t="s">
        <v>253</v>
      </c>
      <c r="G171" s="1" t="s">
        <v>808</v>
      </c>
      <c r="H171" s="1" t="s">
        <v>803</v>
      </c>
      <c r="I171" s="1" t="s">
        <v>604</v>
      </c>
    </row>
    <row r="172" spans="1:9" x14ac:dyDescent="0.25">
      <c r="A172" s="1" t="s">
        <v>710</v>
      </c>
      <c r="B172" s="1" t="s">
        <v>798</v>
      </c>
      <c r="C172" s="1" t="s">
        <v>14</v>
      </c>
      <c r="D172" s="1" t="s">
        <v>182</v>
      </c>
      <c r="E172" s="1" t="s">
        <v>812</v>
      </c>
      <c r="F172" s="1" t="s">
        <v>253</v>
      </c>
      <c r="G172" s="1" t="s">
        <v>819</v>
      </c>
      <c r="H172" s="1" t="s">
        <v>803</v>
      </c>
      <c r="I172" s="1" t="s">
        <v>597</v>
      </c>
    </row>
    <row r="173" spans="1:9" x14ac:dyDescent="0.25">
      <c r="A173" s="1" t="s">
        <v>712</v>
      </c>
      <c r="B173" s="1" t="s">
        <v>798</v>
      </c>
      <c r="C173" s="1" t="s">
        <v>14</v>
      </c>
      <c r="D173" s="1" t="s">
        <v>801</v>
      </c>
      <c r="E173" s="1" t="s">
        <v>812</v>
      </c>
      <c r="F173" s="1" t="s">
        <v>253</v>
      </c>
      <c r="G173" s="1" t="s">
        <v>808</v>
      </c>
      <c r="H173" s="1" t="s">
        <v>803</v>
      </c>
      <c r="I173" s="1" t="s">
        <v>604</v>
      </c>
    </row>
    <row r="174" spans="1:9" x14ac:dyDescent="0.25">
      <c r="A174" s="1" t="s">
        <v>714</v>
      </c>
      <c r="B174" s="1" t="s">
        <v>798</v>
      </c>
      <c r="C174" s="1" t="s">
        <v>14</v>
      </c>
      <c r="D174" s="1" t="s">
        <v>182</v>
      </c>
      <c r="E174" s="1" t="s">
        <v>812</v>
      </c>
      <c r="F174" s="1" t="s">
        <v>253</v>
      </c>
      <c r="G174" s="1" t="s">
        <v>810</v>
      </c>
      <c r="H174" s="1" t="s">
        <v>803</v>
      </c>
      <c r="I174" s="1" t="s">
        <v>580</v>
      </c>
    </row>
    <row r="175" spans="1:9" x14ac:dyDescent="0.25">
      <c r="A175" s="1" t="s">
        <v>716</v>
      </c>
      <c r="B175" s="1" t="s">
        <v>798</v>
      </c>
      <c r="C175" s="1" t="s">
        <v>14</v>
      </c>
      <c r="D175" s="1" t="s">
        <v>801</v>
      </c>
      <c r="E175" s="1" t="s">
        <v>812</v>
      </c>
      <c r="F175" s="1" t="s">
        <v>253</v>
      </c>
      <c r="G175" s="1" t="s">
        <v>805</v>
      </c>
      <c r="H175" s="1" t="s">
        <v>803</v>
      </c>
      <c r="I175" s="1" t="s">
        <v>793</v>
      </c>
    </row>
    <row r="176" spans="1:9" x14ac:dyDescent="0.25">
      <c r="A176" s="1" t="s">
        <v>717</v>
      </c>
      <c r="B176" s="1" t="s">
        <v>798</v>
      </c>
      <c r="C176" s="1" t="s">
        <v>14</v>
      </c>
      <c r="D176" s="1" t="s">
        <v>182</v>
      </c>
      <c r="E176" s="1" t="s">
        <v>812</v>
      </c>
      <c r="F176" s="1" t="s">
        <v>253</v>
      </c>
      <c r="G176" s="1" t="s">
        <v>807</v>
      </c>
      <c r="H176" s="1" t="s">
        <v>803</v>
      </c>
      <c r="I176" s="1" t="s">
        <v>784</v>
      </c>
    </row>
    <row r="177" spans="1:9" x14ac:dyDescent="0.25">
      <c r="A177" s="1" t="s">
        <v>718</v>
      </c>
      <c r="B177" s="1" t="s">
        <v>798</v>
      </c>
      <c r="C177" s="1" t="s">
        <v>14</v>
      </c>
      <c r="D177" s="1" t="s">
        <v>801</v>
      </c>
      <c r="E177" s="1" t="s">
        <v>812</v>
      </c>
      <c r="F177" s="1" t="s">
        <v>253</v>
      </c>
      <c r="G177" s="1" t="s">
        <v>805</v>
      </c>
      <c r="H177" s="1" t="s">
        <v>803</v>
      </c>
      <c r="I177" s="1" t="s">
        <v>793</v>
      </c>
    </row>
    <row r="178" spans="1:9" x14ac:dyDescent="0.25">
      <c r="A178" s="1" t="s">
        <v>719</v>
      </c>
      <c r="B178" s="1" t="s">
        <v>798</v>
      </c>
      <c r="C178" s="1" t="s">
        <v>14</v>
      </c>
      <c r="D178" s="1" t="s">
        <v>182</v>
      </c>
      <c r="E178" s="1" t="s">
        <v>812</v>
      </c>
      <c r="F178" s="1" t="s">
        <v>253</v>
      </c>
      <c r="G178" s="1" t="s">
        <v>820</v>
      </c>
      <c r="H178" s="1" t="s">
        <v>803</v>
      </c>
      <c r="I178" s="1" t="s">
        <v>792</v>
      </c>
    </row>
    <row r="179" spans="1:9" x14ac:dyDescent="0.25">
      <c r="A179" s="1" t="s">
        <v>720</v>
      </c>
      <c r="B179" s="1" t="s">
        <v>798</v>
      </c>
      <c r="C179" s="1" t="s">
        <v>14</v>
      </c>
      <c r="D179" s="1" t="s">
        <v>182</v>
      </c>
      <c r="E179" s="1" t="s">
        <v>812</v>
      </c>
      <c r="F179" s="1" t="s">
        <v>253</v>
      </c>
      <c r="G179" s="1" t="s">
        <v>820</v>
      </c>
      <c r="H179" s="1" t="s">
        <v>803</v>
      </c>
      <c r="I179" s="1" t="s">
        <v>792</v>
      </c>
    </row>
    <row r="180" spans="1:9" x14ac:dyDescent="0.25">
      <c r="A180" s="1" t="s">
        <v>721</v>
      </c>
      <c r="B180" s="1" t="s">
        <v>798</v>
      </c>
      <c r="C180" s="1" t="s">
        <v>14</v>
      </c>
      <c r="D180" s="1" t="s">
        <v>182</v>
      </c>
      <c r="E180" s="1" t="s">
        <v>812</v>
      </c>
      <c r="F180" s="1" t="s">
        <v>253</v>
      </c>
      <c r="G180" s="1" t="s">
        <v>810</v>
      </c>
      <c r="H180" s="1" t="s">
        <v>803</v>
      </c>
      <c r="I180" s="1" t="s">
        <v>580</v>
      </c>
    </row>
    <row r="181" spans="1:9" x14ac:dyDescent="0.25">
      <c r="A181" s="1" t="s">
        <v>722</v>
      </c>
      <c r="B181" s="1" t="s">
        <v>798</v>
      </c>
      <c r="C181" s="1" t="s">
        <v>14</v>
      </c>
      <c r="D181" s="1" t="s">
        <v>801</v>
      </c>
      <c r="E181" s="1" t="s">
        <v>812</v>
      </c>
      <c r="F181" s="1" t="s">
        <v>253</v>
      </c>
      <c r="G181" s="1" t="s">
        <v>805</v>
      </c>
      <c r="H181" s="1" t="s">
        <v>803</v>
      </c>
      <c r="I181" s="1" t="s">
        <v>793</v>
      </c>
    </row>
    <row r="182" spans="1:9" x14ac:dyDescent="0.25">
      <c r="A182" s="1" t="s">
        <v>723</v>
      </c>
      <c r="B182" s="1" t="s">
        <v>798</v>
      </c>
      <c r="C182" s="1" t="s">
        <v>14</v>
      </c>
      <c r="D182" s="1" t="s">
        <v>182</v>
      </c>
      <c r="E182" s="1" t="s">
        <v>812</v>
      </c>
      <c r="F182" s="1" t="s">
        <v>253</v>
      </c>
      <c r="G182" s="1" t="s">
        <v>807</v>
      </c>
      <c r="H182" s="1" t="s">
        <v>803</v>
      </c>
      <c r="I182" s="1" t="s">
        <v>784</v>
      </c>
    </row>
    <row r="183" spans="1:9" x14ac:dyDescent="0.25">
      <c r="A183" s="1" t="s">
        <v>725</v>
      </c>
      <c r="B183" s="1" t="s">
        <v>798</v>
      </c>
      <c r="C183" s="1" t="s">
        <v>14</v>
      </c>
      <c r="D183" s="1" t="s">
        <v>801</v>
      </c>
      <c r="E183" s="1" t="s">
        <v>812</v>
      </c>
      <c r="F183" s="1" t="s">
        <v>253</v>
      </c>
      <c r="G183" s="1" t="s">
        <v>805</v>
      </c>
      <c r="H183" s="1" t="s">
        <v>803</v>
      </c>
      <c r="I183" s="1" t="s">
        <v>793</v>
      </c>
    </row>
    <row r="184" spans="1:9" x14ac:dyDescent="0.25">
      <c r="A184" s="1" t="s">
        <v>729</v>
      </c>
      <c r="B184" s="1" t="s">
        <v>798</v>
      </c>
      <c r="C184" s="1" t="s">
        <v>14</v>
      </c>
      <c r="D184" s="1" t="s">
        <v>182</v>
      </c>
      <c r="E184" s="1" t="s">
        <v>812</v>
      </c>
      <c r="F184" s="1" t="s">
        <v>253</v>
      </c>
      <c r="G184" s="1" t="s">
        <v>810</v>
      </c>
      <c r="H184" s="1" t="s">
        <v>803</v>
      </c>
      <c r="I184" s="1" t="s">
        <v>589</v>
      </c>
    </row>
    <row r="185" spans="1:9" x14ac:dyDescent="0.25">
      <c r="A185" s="1" t="s">
        <v>730</v>
      </c>
      <c r="B185" s="1" t="s">
        <v>798</v>
      </c>
      <c r="C185" s="1" t="s">
        <v>14</v>
      </c>
      <c r="D185" s="1" t="s">
        <v>182</v>
      </c>
      <c r="E185" s="1" t="s">
        <v>812</v>
      </c>
      <c r="F185" s="1" t="s">
        <v>253</v>
      </c>
      <c r="G185" s="1" t="s">
        <v>807</v>
      </c>
      <c r="H185" s="1" t="s">
        <v>803</v>
      </c>
      <c r="I185" s="1" t="s">
        <v>784</v>
      </c>
    </row>
    <row r="186" spans="1:9" x14ac:dyDescent="0.25">
      <c r="A186" s="1" t="s">
        <v>731</v>
      </c>
      <c r="B186" s="1" t="s">
        <v>798</v>
      </c>
      <c r="C186" s="1" t="s">
        <v>14</v>
      </c>
      <c r="D186" s="1" t="s">
        <v>182</v>
      </c>
      <c r="E186" s="1" t="s">
        <v>812</v>
      </c>
      <c r="F186" s="1" t="s">
        <v>253</v>
      </c>
      <c r="G186" s="1" t="s">
        <v>807</v>
      </c>
      <c r="H186" s="1" t="s">
        <v>803</v>
      </c>
      <c r="I186" s="1" t="s">
        <v>784</v>
      </c>
    </row>
    <row r="187" spans="1:9" x14ac:dyDescent="0.25">
      <c r="A187" s="1" t="s">
        <v>732</v>
      </c>
      <c r="B187" s="1" t="s">
        <v>798</v>
      </c>
      <c r="C187" s="1" t="s">
        <v>14</v>
      </c>
      <c r="D187" s="1" t="s">
        <v>801</v>
      </c>
      <c r="E187" s="1" t="s">
        <v>812</v>
      </c>
      <c r="F187" s="1" t="s">
        <v>253</v>
      </c>
      <c r="G187" s="1" t="s">
        <v>804</v>
      </c>
      <c r="H187" s="1" t="s">
        <v>803</v>
      </c>
      <c r="I187" s="1" t="s">
        <v>578</v>
      </c>
    </row>
    <row r="188" spans="1:9" x14ac:dyDescent="0.25">
      <c r="A188" s="1" t="s">
        <v>733</v>
      </c>
      <c r="B188" s="1" t="s">
        <v>798</v>
      </c>
      <c r="C188" s="1" t="s">
        <v>14</v>
      </c>
      <c r="D188" s="1" t="s">
        <v>801</v>
      </c>
      <c r="E188" s="1" t="s">
        <v>812</v>
      </c>
      <c r="F188" s="1" t="s">
        <v>253</v>
      </c>
      <c r="G188" s="1" t="s">
        <v>804</v>
      </c>
      <c r="H188" s="1" t="s">
        <v>803</v>
      </c>
      <c r="I188" s="1" t="s">
        <v>578</v>
      </c>
    </row>
    <row r="189" spans="1:9" x14ac:dyDescent="0.25">
      <c r="A189" s="1" t="s">
        <v>735</v>
      </c>
      <c r="B189" s="1" t="s">
        <v>798</v>
      </c>
      <c r="C189" s="1" t="s">
        <v>14</v>
      </c>
      <c r="D189" s="1" t="s">
        <v>182</v>
      </c>
      <c r="E189" s="1" t="s">
        <v>812</v>
      </c>
      <c r="F189" s="1" t="s">
        <v>253</v>
      </c>
      <c r="G189" s="1" t="s">
        <v>817</v>
      </c>
      <c r="H189" s="1" t="s">
        <v>803</v>
      </c>
      <c r="I189" s="1" t="s">
        <v>747</v>
      </c>
    </row>
    <row r="190" spans="1:9" x14ac:dyDescent="0.25">
      <c r="A190" s="1" t="s">
        <v>736</v>
      </c>
      <c r="B190" s="1" t="s">
        <v>798</v>
      </c>
      <c r="C190" s="1" t="s">
        <v>14</v>
      </c>
      <c r="D190" s="1" t="s">
        <v>801</v>
      </c>
      <c r="E190" s="1" t="s">
        <v>812</v>
      </c>
      <c r="F190" s="1" t="s">
        <v>253</v>
      </c>
      <c r="G190" s="1" t="s">
        <v>808</v>
      </c>
      <c r="H190" s="1" t="s">
        <v>803</v>
      </c>
      <c r="I190" s="1" t="s">
        <v>604</v>
      </c>
    </row>
    <row r="191" spans="1:9" x14ac:dyDescent="0.25">
      <c r="A191" s="1" t="s">
        <v>737</v>
      </c>
      <c r="B191" s="1" t="s">
        <v>798</v>
      </c>
      <c r="C191" s="1" t="s">
        <v>14</v>
      </c>
      <c r="D191" s="1" t="s">
        <v>182</v>
      </c>
      <c r="E191" s="1" t="s">
        <v>812</v>
      </c>
      <c r="F191" s="1" t="s">
        <v>253</v>
      </c>
      <c r="G191" s="1" t="s">
        <v>807</v>
      </c>
      <c r="H191" s="1" t="s">
        <v>803</v>
      </c>
      <c r="I191" s="1" t="s">
        <v>784</v>
      </c>
    </row>
    <row r="192" spans="1:9" x14ac:dyDescent="0.25">
      <c r="A192" s="1" t="s">
        <v>738</v>
      </c>
      <c r="B192" s="1" t="s">
        <v>798</v>
      </c>
      <c r="C192" s="1" t="s">
        <v>14</v>
      </c>
      <c r="D192" s="1" t="s">
        <v>182</v>
      </c>
      <c r="E192" s="1" t="s">
        <v>812</v>
      </c>
      <c r="F192" s="1" t="s">
        <v>253</v>
      </c>
      <c r="G192" s="1" t="s">
        <v>810</v>
      </c>
      <c r="H192" s="1" t="s">
        <v>803</v>
      </c>
      <c r="I192" s="1" t="s">
        <v>589</v>
      </c>
    </row>
    <row r="193" spans="1:9" x14ac:dyDescent="0.25">
      <c r="A193" s="1" t="s">
        <v>740</v>
      </c>
      <c r="B193" s="1" t="s">
        <v>798</v>
      </c>
      <c r="C193" s="1" t="s">
        <v>14</v>
      </c>
      <c r="D193" s="1" t="s">
        <v>182</v>
      </c>
      <c r="E193" s="1" t="s">
        <v>812</v>
      </c>
      <c r="F193" s="1" t="s">
        <v>253</v>
      </c>
      <c r="G193" s="1" t="s">
        <v>802</v>
      </c>
      <c r="H193" s="1" t="s">
        <v>803</v>
      </c>
      <c r="I193" s="1" t="s">
        <v>607</v>
      </c>
    </row>
    <row r="194" spans="1:9" x14ac:dyDescent="0.25">
      <c r="A194" s="1" t="s">
        <v>745</v>
      </c>
      <c r="B194" s="1" t="s">
        <v>798</v>
      </c>
      <c r="C194" s="1" t="s">
        <v>14</v>
      </c>
      <c r="D194" s="1" t="s">
        <v>182</v>
      </c>
      <c r="E194" s="1" t="s">
        <v>812</v>
      </c>
      <c r="F194" s="1" t="s">
        <v>253</v>
      </c>
      <c r="G194" s="1" t="s">
        <v>810</v>
      </c>
      <c r="H194" s="1" t="s">
        <v>803</v>
      </c>
      <c r="I194" s="1" t="s">
        <v>589</v>
      </c>
    </row>
    <row r="195" spans="1:9" x14ac:dyDescent="0.25">
      <c r="A195" s="1" t="s">
        <v>364</v>
      </c>
      <c r="B195" s="1" t="s">
        <v>800</v>
      </c>
      <c r="C195" s="1" t="s">
        <v>14</v>
      </c>
      <c r="D195" s="1" t="s">
        <v>182</v>
      </c>
      <c r="E195" s="1" t="s">
        <v>812</v>
      </c>
      <c r="F195" s="1" t="s">
        <v>253</v>
      </c>
      <c r="G195" s="1" t="s">
        <v>802</v>
      </c>
      <c r="H195" s="1" t="s">
        <v>803</v>
      </c>
      <c r="I195" s="1" t="s">
        <v>607</v>
      </c>
    </row>
    <row r="196" spans="1:9" x14ac:dyDescent="0.25">
      <c r="A196" s="1" t="s">
        <v>371</v>
      </c>
      <c r="B196" s="1" t="s">
        <v>800</v>
      </c>
      <c r="C196" s="1" t="s">
        <v>14</v>
      </c>
      <c r="D196" s="1" t="s">
        <v>182</v>
      </c>
      <c r="E196" s="1" t="s">
        <v>812</v>
      </c>
      <c r="F196" s="1" t="s">
        <v>253</v>
      </c>
      <c r="G196" s="1" t="s">
        <v>802</v>
      </c>
      <c r="H196" s="1" t="s">
        <v>803</v>
      </c>
      <c r="I196" s="1" t="s">
        <v>607</v>
      </c>
    </row>
    <row r="197" spans="1:9" x14ac:dyDescent="0.25">
      <c r="A197" s="1" t="s">
        <v>372</v>
      </c>
      <c r="B197" s="1" t="s">
        <v>800</v>
      </c>
      <c r="C197" s="1" t="s">
        <v>14</v>
      </c>
      <c r="D197" s="1" t="s">
        <v>182</v>
      </c>
      <c r="E197" s="1" t="s">
        <v>812</v>
      </c>
      <c r="F197" s="1" t="s">
        <v>253</v>
      </c>
      <c r="G197" s="1" t="s">
        <v>802</v>
      </c>
      <c r="H197" s="1" t="s">
        <v>803</v>
      </c>
      <c r="I197" s="1" t="s">
        <v>607</v>
      </c>
    </row>
    <row r="198" spans="1:9" x14ac:dyDescent="0.25">
      <c r="A198" s="1" t="s">
        <v>374</v>
      </c>
      <c r="B198" s="1" t="s">
        <v>800</v>
      </c>
      <c r="C198" s="1" t="s">
        <v>14</v>
      </c>
      <c r="D198" s="1" t="s">
        <v>182</v>
      </c>
      <c r="E198" s="1" t="s">
        <v>812</v>
      </c>
      <c r="F198" s="1" t="s">
        <v>253</v>
      </c>
      <c r="G198" s="1" t="s">
        <v>802</v>
      </c>
      <c r="H198" s="1" t="s">
        <v>803</v>
      </c>
      <c r="I198" s="1" t="s">
        <v>607</v>
      </c>
    </row>
    <row r="199" spans="1:9" x14ac:dyDescent="0.25">
      <c r="A199" s="1" t="s">
        <v>377</v>
      </c>
      <c r="B199" s="1" t="s">
        <v>800</v>
      </c>
      <c r="C199" s="1" t="s">
        <v>14</v>
      </c>
      <c r="D199" s="1" t="s">
        <v>182</v>
      </c>
      <c r="E199" s="1" t="s">
        <v>812</v>
      </c>
      <c r="F199" s="1" t="s">
        <v>253</v>
      </c>
      <c r="G199" s="1" t="s">
        <v>802</v>
      </c>
      <c r="H199" s="1" t="s">
        <v>803</v>
      </c>
      <c r="I199" s="1" t="s">
        <v>607</v>
      </c>
    </row>
    <row r="200" spans="1:9" x14ac:dyDescent="0.25">
      <c r="A200" s="1" t="s">
        <v>385</v>
      </c>
      <c r="B200" s="1" t="s">
        <v>800</v>
      </c>
      <c r="C200" s="1" t="s">
        <v>14</v>
      </c>
      <c r="D200" s="1" t="s">
        <v>182</v>
      </c>
      <c r="E200" s="1" t="s">
        <v>812</v>
      </c>
      <c r="F200" s="1" t="s">
        <v>253</v>
      </c>
      <c r="G200" s="1" t="s">
        <v>802</v>
      </c>
      <c r="H200" s="1" t="s">
        <v>803</v>
      </c>
      <c r="I200" s="1" t="s">
        <v>607</v>
      </c>
    </row>
    <row r="201" spans="1:9" x14ac:dyDescent="0.25">
      <c r="A201" s="1" t="s">
        <v>391</v>
      </c>
      <c r="B201" s="1" t="s">
        <v>800</v>
      </c>
      <c r="C201" s="1" t="s">
        <v>14</v>
      </c>
      <c r="D201" s="1" t="s">
        <v>182</v>
      </c>
      <c r="E201" s="1" t="s">
        <v>812</v>
      </c>
      <c r="F201" s="1" t="s">
        <v>253</v>
      </c>
      <c r="G201" s="1" t="s">
        <v>802</v>
      </c>
      <c r="H201" s="1" t="s">
        <v>803</v>
      </c>
      <c r="I201" s="1" t="s">
        <v>607</v>
      </c>
    </row>
    <row r="202" spans="1:9" x14ac:dyDescent="0.25">
      <c r="A202" s="1" t="s">
        <v>395</v>
      </c>
      <c r="B202" s="1" t="s">
        <v>800</v>
      </c>
      <c r="C202" s="1" t="s">
        <v>14</v>
      </c>
      <c r="D202" s="1" t="s">
        <v>182</v>
      </c>
      <c r="E202" s="1" t="s">
        <v>812</v>
      </c>
      <c r="F202" s="1" t="s">
        <v>253</v>
      </c>
      <c r="G202" s="1" t="s">
        <v>802</v>
      </c>
      <c r="H202" s="1" t="s">
        <v>803</v>
      </c>
      <c r="I202" s="1" t="s">
        <v>607</v>
      </c>
    </row>
    <row r="203" spans="1:9" x14ac:dyDescent="0.25">
      <c r="A203" s="1" t="s">
        <v>399</v>
      </c>
      <c r="B203" s="1" t="s">
        <v>800</v>
      </c>
      <c r="C203" s="1" t="s">
        <v>14</v>
      </c>
      <c r="D203" s="1" t="s">
        <v>182</v>
      </c>
      <c r="E203" s="1" t="s">
        <v>812</v>
      </c>
      <c r="F203" s="1" t="s">
        <v>253</v>
      </c>
      <c r="G203" s="1" t="s">
        <v>802</v>
      </c>
      <c r="H203" s="1" t="s">
        <v>803</v>
      </c>
      <c r="I203" s="1" t="s">
        <v>607</v>
      </c>
    </row>
    <row r="204" spans="1:9" x14ac:dyDescent="0.25">
      <c r="A204" s="1" t="s">
        <v>402</v>
      </c>
      <c r="B204" s="1" t="s">
        <v>800</v>
      </c>
      <c r="C204" s="1" t="s">
        <v>14</v>
      </c>
      <c r="D204" s="1" t="s">
        <v>182</v>
      </c>
      <c r="E204" s="1" t="s">
        <v>812</v>
      </c>
      <c r="F204" s="1" t="s">
        <v>253</v>
      </c>
      <c r="G204" s="1" t="s">
        <v>802</v>
      </c>
      <c r="H204" s="1" t="s">
        <v>803</v>
      </c>
      <c r="I204" s="1" t="s">
        <v>607</v>
      </c>
    </row>
    <row r="205" spans="1:9" x14ac:dyDescent="0.25">
      <c r="A205" s="1" t="s">
        <v>407</v>
      </c>
      <c r="B205" s="1" t="s">
        <v>800</v>
      </c>
      <c r="C205" s="1" t="s">
        <v>14</v>
      </c>
      <c r="D205" s="1" t="s">
        <v>182</v>
      </c>
      <c r="E205" s="1" t="s">
        <v>812</v>
      </c>
      <c r="F205" s="1" t="s">
        <v>253</v>
      </c>
      <c r="G205" s="1" t="s">
        <v>802</v>
      </c>
      <c r="H205" s="1" t="s">
        <v>803</v>
      </c>
      <c r="I205" s="1" t="s">
        <v>607</v>
      </c>
    </row>
    <row r="206" spans="1:9" x14ac:dyDescent="0.25">
      <c r="A206" s="1" t="s">
        <v>415</v>
      </c>
      <c r="B206" s="1" t="s">
        <v>800</v>
      </c>
      <c r="C206" s="1" t="s">
        <v>14</v>
      </c>
      <c r="D206" s="1" t="s">
        <v>182</v>
      </c>
      <c r="E206" s="1" t="s">
        <v>812</v>
      </c>
      <c r="F206" s="1" t="s">
        <v>253</v>
      </c>
      <c r="G206" s="1" t="s">
        <v>802</v>
      </c>
      <c r="H206" s="1" t="s">
        <v>803</v>
      </c>
      <c r="I206" s="1" t="s">
        <v>607</v>
      </c>
    </row>
    <row r="207" spans="1:9" x14ac:dyDescent="0.25">
      <c r="A207" s="1" t="s">
        <v>425</v>
      </c>
      <c r="B207" s="1" t="s">
        <v>800</v>
      </c>
      <c r="C207" s="1" t="s">
        <v>273</v>
      </c>
      <c r="D207" s="1" t="s">
        <v>182</v>
      </c>
      <c r="E207" s="1" t="s">
        <v>417</v>
      </c>
      <c r="F207" s="1" t="s">
        <v>417</v>
      </c>
      <c r="G207" s="1" t="s">
        <v>802</v>
      </c>
      <c r="H207" s="1" t="s">
        <v>803</v>
      </c>
      <c r="I207" s="1" t="s">
        <v>272</v>
      </c>
    </row>
    <row r="208" spans="1:9" x14ac:dyDescent="0.25">
      <c r="A208" s="1" t="s">
        <v>428</v>
      </c>
      <c r="B208" s="1" t="s">
        <v>800</v>
      </c>
      <c r="C208" s="1" t="s">
        <v>14</v>
      </c>
      <c r="D208" s="1" t="s">
        <v>182</v>
      </c>
      <c r="E208" s="1" t="s">
        <v>812</v>
      </c>
      <c r="F208" s="1" t="s">
        <v>253</v>
      </c>
      <c r="G208" s="1" t="s">
        <v>802</v>
      </c>
      <c r="H208" s="1" t="s">
        <v>803</v>
      </c>
      <c r="I208" s="1" t="s">
        <v>607</v>
      </c>
    </row>
    <row r="209" spans="1:9" x14ac:dyDescent="0.25">
      <c r="A209" s="1" t="s">
        <v>429</v>
      </c>
      <c r="B209" s="1" t="s">
        <v>800</v>
      </c>
      <c r="C209" s="1" t="s">
        <v>14</v>
      </c>
      <c r="D209" s="1" t="s">
        <v>799</v>
      </c>
      <c r="E209" s="1" t="s">
        <v>417</v>
      </c>
      <c r="F209" s="1" t="s">
        <v>417</v>
      </c>
      <c r="G209" s="1" t="s">
        <v>802</v>
      </c>
      <c r="H209" s="1" t="s">
        <v>803</v>
      </c>
      <c r="I209" s="1" t="s">
        <v>547</v>
      </c>
    </row>
    <row r="210" spans="1:9" x14ac:dyDescent="0.25">
      <c r="A210" s="1" t="s">
        <v>430</v>
      </c>
      <c r="B210" s="1" t="s">
        <v>800</v>
      </c>
      <c r="C210" s="1" t="s">
        <v>14</v>
      </c>
      <c r="D210" s="1" t="s">
        <v>182</v>
      </c>
      <c r="E210" s="1" t="s">
        <v>417</v>
      </c>
      <c r="F210" s="1" t="s">
        <v>417</v>
      </c>
      <c r="G210" s="1" t="s">
        <v>802</v>
      </c>
      <c r="H210" s="1" t="s">
        <v>803</v>
      </c>
      <c r="I210" s="1" t="s">
        <v>607</v>
      </c>
    </row>
    <row r="211" spans="1:9" x14ac:dyDescent="0.25">
      <c r="A211" s="1" t="s">
        <v>431</v>
      </c>
      <c r="B211" s="1" t="s">
        <v>800</v>
      </c>
      <c r="C211" s="1" t="s">
        <v>14</v>
      </c>
      <c r="D211" s="1" t="s">
        <v>182</v>
      </c>
      <c r="E211" s="1" t="s">
        <v>417</v>
      </c>
      <c r="F211" s="1" t="s">
        <v>417</v>
      </c>
      <c r="G211" s="1" t="s">
        <v>802</v>
      </c>
      <c r="H211" s="1" t="s">
        <v>803</v>
      </c>
      <c r="I211" s="1" t="s">
        <v>607</v>
      </c>
    </row>
    <row r="212" spans="1:9" x14ac:dyDescent="0.25">
      <c r="A212" s="1" t="s">
        <v>435</v>
      </c>
      <c r="B212" s="1" t="s">
        <v>800</v>
      </c>
      <c r="C212" s="1" t="s">
        <v>14</v>
      </c>
      <c r="D212" s="1" t="s">
        <v>799</v>
      </c>
      <c r="E212" s="1" t="s">
        <v>417</v>
      </c>
      <c r="F212" s="1" t="s">
        <v>417</v>
      </c>
      <c r="G212" s="1" t="s">
        <v>802</v>
      </c>
      <c r="H212" s="1" t="s">
        <v>803</v>
      </c>
      <c r="I212" s="1" t="s">
        <v>265</v>
      </c>
    </row>
    <row r="213" spans="1:9" x14ac:dyDescent="0.25">
      <c r="A213" s="1" t="s">
        <v>443</v>
      </c>
      <c r="B213" s="1" t="s">
        <v>800</v>
      </c>
      <c r="C213" s="1" t="s">
        <v>273</v>
      </c>
      <c r="D213" s="1" t="s">
        <v>182</v>
      </c>
      <c r="E213" s="1" t="s">
        <v>417</v>
      </c>
      <c r="F213" s="1" t="s">
        <v>417</v>
      </c>
      <c r="G213" s="1" t="s">
        <v>802</v>
      </c>
      <c r="H213" s="1" t="s">
        <v>803</v>
      </c>
      <c r="I213" s="1" t="s">
        <v>272</v>
      </c>
    </row>
    <row r="214" spans="1:9" x14ac:dyDescent="0.25">
      <c r="A214" s="1" t="s">
        <v>447</v>
      </c>
      <c r="B214" s="1" t="s">
        <v>800</v>
      </c>
      <c r="C214" s="1" t="s">
        <v>14</v>
      </c>
      <c r="D214" s="1" t="s">
        <v>799</v>
      </c>
      <c r="E214" s="1" t="s">
        <v>417</v>
      </c>
      <c r="F214" s="1" t="s">
        <v>417</v>
      </c>
      <c r="G214" s="1" t="s">
        <v>802</v>
      </c>
      <c r="H214" s="1" t="s">
        <v>803</v>
      </c>
      <c r="I214" s="1" t="s">
        <v>271</v>
      </c>
    </row>
    <row r="215" spans="1:9" x14ac:dyDescent="0.25">
      <c r="A215" s="1" t="s">
        <v>452</v>
      </c>
      <c r="B215" s="1" t="s">
        <v>800</v>
      </c>
      <c r="C215" s="1" t="s">
        <v>14</v>
      </c>
      <c r="D215" s="1" t="s">
        <v>182</v>
      </c>
      <c r="E215" s="1" t="s">
        <v>417</v>
      </c>
      <c r="F215" s="1" t="s">
        <v>417</v>
      </c>
      <c r="G215" s="1" t="s">
        <v>802</v>
      </c>
      <c r="H215" s="1" t="s">
        <v>803</v>
      </c>
      <c r="I215" s="1" t="s">
        <v>607</v>
      </c>
    </row>
    <row r="216" spans="1:9" x14ac:dyDescent="0.25">
      <c r="A216" s="1" t="s">
        <v>454</v>
      </c>
      <c r="B216" s="1" t="s">
        <v>800</v>
      </c>
      <c r="C216" s="1" t="s">
        <v>14</v>
      </c>
      <c r="D216" s="1" t="s">
        <v>182</v>
      </c>
      <c r="E216" s="1" t="s">
        <v>417</v>
      </c>
      <c r="F216" s="1" t="s">
        <v>417</v>
      </c>
      <c r="G216" s="1" t="s">
        <v>802</v>
      </c>
      <c r="H216" s="1" t="s">
        <v>803</v>
      </c>
      <c r="I216" s="1" t="s">
        <v>607</v>
      </c>
    </row>
    <row r="217" spans="1:9" x14ac:dyDescent="0.25">
      <c r="A217" s="1" t="s">
        <v>457</v>
      </c>
      <c r="B217" s="1" t="s">
        <v>800</v>
      </c>
      <c r="C217" s="1" t="s">
        <v>14</v>
      </c>
      <c r="D217" s="1" t="s">
        <v>799</v>
      </c>
      <c r="E217" s="1" t="s">
        <v>417</v>
      </c>
      <c r="F217" s="1" t="s">
        <v>417</v>
      </c>
      <c r="G217" s="1" t="s">
        <v>802</v>
      </c>
      <c r="H217" s="1" t="s">
        <v>803</v>
      </c>
      <c r="I217" s="1" t="s">
        <v>276</v>
      </c>
    </row>
    <row r="218" spans="1:9" x14ac:dyDescent="0.25">
      <c r="A218" s="1" t="s">
        <v>473</v>
      </c>
      <c r="B218" s="1" t="s">
        <v>800</v>
      </c>
      <c r="C218" s="1" t="s">
        <v>14</v>
      </c>
      <c r="D218" s="1" t="s">
        <v>182</v>
      </c>
      <c r="E218" s="1" t="s">
        <v>417</v>
      </c>
      <c r="F218" s="1" t="s">
        <v>417</v>
      </c>
      <c r="G218" s="1" t="s">
        <v>802</v>
      </c>
      <c r="H218" s="1" t="s">
        <v>803</v>
      </c>
      <c r="I218" s="1" t="s">
        <v>607</v>
      </c>
    </row>
    <row r="219" spans="1:9" x14ac:dyDescent="0.25">
      <c r="A219" s="1" t="s">
        <v>477</v>
      </c>
      <c r="B219" s="1" t="s">
        <v>800</v>
      </c>
      <c r="C219" s="1" t="s">
        <v>14</v>
      </c>
      <c r="D219" s="1" t="s">
        <v>182</v>
      </c>
      <c r="E219" s="1" t="s">
        <v>417</v>
      </c>
      <c r="F219" s="1" t="s">
        <v>417</v>
      </c>
      <c r="G219" s="1" t="s">
        <v>802</v>
      </c>
      <c r="H219" s="1" t="s">
        <v>803</v>
      </c>
      <c r="I219" s="1" t="s">
        <v>607</v>
      </c>
    </row>
    <row r="220" spans="1:9" x14ac:dyDescent="0.25">
      <c r="A220" s="1" t="s">
        <v>478</v>
      </c>
      <c r="B220" s="1" t="s">
        <v>800</v>
      </c>
      <c r="C220" s="1" t="s">
        <v>14</v>
      </c>
      <c r="D220" s="1" t="s">
        <v>182</v>
      </c>
      <c r="E220" s="1" t="s">
        <v>812</v>
      </c>
      <c r="F220" s="1" t="s">
        <v>253</v>
      </c>
      <c r="G220" s="1" t="s">
        <v>802</v>
      </c>
      <c r="H220" s="1" t="s">
        <v>803</v>
      </c>
      <c r="I220" s="1" t="s">
        <v>607</v>
      </c>
    </row>
    <row r="221" spans="1:9" x14ac:dyDescent="0.25">
      <c r="A221" s="1" t="s">
        <v>482</v>
      </c>
      <c r="B221" s="1" t="s">
        <v>800</v>
      </c>
      <c r="C221" s="1" t="s">
        <v>14</v>
      </c>
      <c r="D221" s="1" t="s">
        <v>799</v>
      </c>
      <c r="E221" s="1" t="s">
        <v>417</v>
      </c>
      <c r="F221" s="1" t="s">
        <v>417</v>
      </c>
      <c r="G221" s="1" t="s">
        <v>802</v>
      </c>
      <c r="H221" s="1" t="s">
        <v>803</v>
      </c>
      <c r="I221" s="1" t="s">
        <v>277</v>
      </c>
    </row>
    <row r="222" spans="1:9" x14ac:dyDescent="0.25">
      <c r="A222" s="1" t="s">
        <v>498</v>
      </c>
      <c r="B222" s="1" t="s">
        <v>800</v>
      </c>
      <c r="C222" s="1" t="s">
        <v>14</v>
      </c>
      <c r="D222" s="1" t="s">
        <v>799</v>
      </c>
      <c r="E222" s="1" t="s">
        <v>417</v>
      </c>
      <c r="F222" s="1" t="s">
        <v>417</v>
      </c>
      <c r="G222" s="1" t="s">
        <v>802</v>
      </c>
      <c r="H222" s="1" t="s">
        <v>803</v>
      </c>
      <c r="I222" s="1" t="s">
        <v>270</v>
      </c>
    </row>
    <row r="223" spans="1:9" x14ac:dyDescent="0.25">
      <c r="A223" s="1" t="s">
        <v>512</v>
      </c>
      <c r="B223" s="1" t="s">
        <v>800</v>
      </c>
      <c r="C223" s="1" t="s">
        <v>14</v>
      </c>
      <c r="D223" s="1" t="s">
        <v>182</v>
      </c>
      <c r="E223" s="1" t="s">
        <v>812</v>
      </c>
      <c r="F223" s="1" t="s">
        <v>253</v>
      </c>
      <c r="G223" s="1" t="s">
        <v>802</v>
      </c>
      <c r="H223" s="1" t="s">
        <v>803</v>
      </c>
      <c r="I223" s="1" t="s">
        <v>607</v>
      </c>
    </row>
    <row r="224" spans="1:9" x14ac:dyDescent="0.25">
      <c r="A224" s="1" t="s">
        <v>520</v>
      </c>
      <c r="B224" s="1" t="s">
        <v>800</v>
      </c>
      <c r="C224" s="1" t="s">
        <v>14</v>
      </c>
      <c r="D224" s="1" t="s">
        <v>182</v>
      </c>
      <c r="E224" s="1" t="s">
        <v>812</v>
      </c>
      <c r="F224" s="1" t="s">
        <v>253</v>
      </c>
      <c r="G224" s="1" t="s">
        <v>802</v>
      </c>
      <c r="H224" s="1" t="s">
        <v>803</v>
      </c>
      <c r="I224" s="1" t="s">
        <v>607</v>
      </c>
    </row>
    <row r="225" spans="1:9" x14ac:dyDescent="0.25">
      <c r="A225" s="1" t="s">
        <v>527</v>
      </c>
      <c r="B225" s="1" t="s">
        <v>800</v>
      </c>
      <c r="C225" s="1" t="s">
        <v>14</v>
      </c>
      <c r="D225" s="1" t="s">
        <v>182</v>
      </c>
      <c r="E225" s="1" t="s">
        <v>812</v>
      </c>
      <c r="F225" s="1" t="s">
        <v>253</v>
      </c>
      <c r="G225" s="1" t="s">
        <v>802</v>
      </c>
      <c r="H225" s="1" t="s">
        <v>803</v>
      </c>
      <c r="I225" s="1" t="s">
        <v>607</v>
      </c>
    </row>
    <row r="226" spans="1:9" x14ac:dyDescent="0.25">
      <c r="A226" s="1" t="s">
        <v>531</v>
      </c>
      <c r="B226" s="1" t="s">
        <v>800</v>
      </c>
      <c r="C226" s="1" t="s">
        <v>14</v>
      </c>
      <c r="D226" s="1" t="s">
        <v>182</v>
      </c>
      <c r="E226" s="1" t="s">
        <v>812</v>
      </c>
      <c r="F226" s="1" t="s">
        <v>253</v>
      </c>
      <c r="G226" s="1" t="s">
        <v>802</v>
      </c>
      <c r="H226" s="1" t="s">
        <v>803</v>
      </c>
      <c r="I226" s="1" t="s">
        <v>607</v>
      </c>
    </row>
    <row r="227" spans="1:9" x14ac:dyDescent="0.25">
      <c r="A227" s="1" t="s">
        <v>532</v>
      </c>
      <c r="B227" s="1" t="s">
        <v>800</v>
      </c>
      <c r="C227" s="1" t="s">
        <v>14</v>
      </c>
      <c r="D227" s="1" t="s">
        <v>182</v>
      </c>
      <c r="E227" s="1" t="s">
        <v>812</v>
      </c>
      <c r="F227" s="1" t="s">
        <v>253</v>
      </c>
      <c r="G227" s="1" t="s">
        <v>802</v>
      </c>
      <c r="H227" s="1" t="s">
        <v>803</v>
      </c>
      <c r="I227" s="1" t="s">
        <v>607</v>
      </c>
    </row>
    <row r="228" spans="1:9" x14ac:dyDescent="0.25">
      <c r="A228" s="1" t="s">
        <v>535</v>
      </c>
      <c r="B228" s="1" t="s">
        <v>800</v>
      </c>
      <c r="C228" s="1" t="s">
        <v>14</v>
      </c>
      <c r="D228" s="1" t="s">
        <v>182</v>
      </c>
      <c r="E228" s="1" t="s">
        <v>812</v>
      </c>
      <c r="F228" s="1" t="s">
        <v>253</v>
      </c>
      <c r="G228" s="1" t="s">
        <v>802</v>
      </c>
      <c r="H228" s="1" t="s">
        <v>803</v>
      </c>
      <c r="I228" s="1" t="s">
        <v>607</v>
      </c>
    </row>
    <row r="229" spans="1:9" x14ac:dyDescent="0.25">
      <c r="A229" s="1" t="s">
        <v>694</v>
      </c>
      <c r="B229" s="1" t="s">
        <v>800</v>
      </c>
      <c r="C229" s="1" t="s">
        <v>14</v>
      </c>
      <c r="D229" s="1" t="s">
        <v>801</v>
      </c>
      <c r="E229" s="1" t="s">
        <v>417</v>
      </c>
      <c r="F229" s="1" t="s">
        <v>417</v>
      </c>
      <c r="G229" s="1" t="s">
        <v>804</v>
      </c>
      <c r="H229" s="1" t="s">
        <v>803</v>
      </c>
      <c r="I229" s="1" t="s">
        <v>578</v>
      </c>
    </row>
    <row r="230" spans="1:9" x14ac:dyDescent="0.25">
      <c r="A230" s="1" t="s">
        <v>739</v>
      </c>
      <c r="B230" s="1" t="s">
        <v>800</v>
      </c>
      <c r="C230" s="1" t="s">
        <v>14</v>
      </c>
      <c r="D230" s="1" t="s">
        <v>182</v>
      </c>
      <c r="E230" s="1" t="s">
        <v>812</v>
      </c>
      <c r="F230" s="1" t="s">
        <v>253</v>
      </c>
      <c r="G230" s="1" t="s">
        <v>802</v>
      </c>
      <c r="H230" s="1" t="s">
        <v>803</v>
      </c>
      <c r="I230" s="1" t="s">
        <v>607</v>
      </c>
    </row>
    <row r="231" spans="1:9" x14ac:dyDescent="0.25">
      <c r="A231" s="1" t="s">
        <v>742</v>
      </c>
      <c r="B231" s="1" t="s">
        <v>800</v>
      </c>
      <c r="C231" s="1" t="s">
        <v>14</v>
      </c>
      <c r="D231" s="1" t="s">
        <v>182</v>
      </c>
      <c r="E231" s="1" t="s">
        <v>812</v>
      </c>
      <c r="F231" s="1" t="s">
        <v>253</v>
      </c>
      <c r="G231" s="1" t="s">
        <v>802</v>
      </c>
      <c r="H231" s="1" t="s">
        <v>803</v>
      </c>
      <c r="I231" s="1" t="s">
        <v>607</v>
      </c>
    </row>
    <row r="232" spans="1:9" x14ac:dyDescent="0.25">
      <c r="A232" s="1" t="s">
        <v>743</v>
      </c>
      <c r="B232" s="1" t="s">
        <v>800</v>
      </c>
      <c r="C232" s="1" t="s">
        <v>14</v>
      </c>
      <c r="D232" s="1" t="s">
        <v>182</v>
      </c>
      <c r="E232" s="1" t="s">
        <v>812</v>
      </c>
      <c r="F232" s="1" t="s">
        <v>253</v>
      </c>
      <c r="G232" s="1" t="s">
        <v>802</v>
      </c>
      <c r="H232" s="1" t="s">
        <v>803</v>
      </c>
      <c r="I232" s="1" t="s">
        <v>607</v>
      </c>
    </row>
  </sheetData>
  <phoneticPr fontId="20" type="noConversion"/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4FA0A-1A24-4C38-BDBA-DA84D3C0DA96}">
  <dimension ref="B5:I14"/>
  <sheetViews>
    <sheetView showGridLines="0" workbookViewId="0">
      <selection activeCell="H20" sqref="H20"/>
    </sheetView>
  </sheetViews>
  <sheetFormatPr baseColWidth="10" defaultRowHeight="15" x14ac:dyDescent="0.25"/>
  <cols>
    <col min="2" max="2" width="18.5703125" bestFit="1" customWidth="1"/>
    <col min="4" max="4" width="22" customWidth="1"/>
    <col min="6" max="6" width="21.42578125" bestFit="1" customWidth="1"/>
    <col min="7" max="7" width="11.85546875" customWidth="1"/>
    <col min="8" max="8" width="21.7109375" customWidth="1"/>
  </cols>
  <sheetData>
    <row r="5" spans="2:9" ht="15.75" thickBot="1" x14ac:dyDescent="0.3"/>
    <row r="6" spans="2:9" x14ac:dyDescent="0.25">
      <c r="B6" s="21" t="s">
        <v>856</v>
      </c>
      <c r="C6" s="22"/>
      <c r="D6" s="21" t="s">
        <v>860</v>
      </c>
      <c r="E6" s="22"/>
      <c r="F6" s="21" t="s">
        <v>865</v>
      </c>
      <c r="G6" s="22"/>
      <c r="H6" s="21" t="s">
        <v>866</v>
      </c>
      <c r="I6" s="22"/>
    </row>
    <row r="7" spans="2:9" x14ac:dyDescent="0.25">
      <c r="B7" s="23"/>
      <c r="C7" s="24"/>
      <c r="D7" s="23"/>
      <c r="E7" s="24"/>
      <c r="F7" s="23"/>
      <c r="G7" s="24"/>
      <c r="H7" s="23"/>
      <c r="I7" s="24"/>
    </row>
    <row r="8" spans="2:9" x14ac:dyDescent="0.25">
      <c r="B8" s="23" t="s">
        <v>857</v>
      </c>
      <c r="C8" s="25">
        <f>+Tabla12[[#Totals],[PVP Aprox Mensual]]</f>
        <v>390.12</v>
      </c>
      <c r="D8" s="23" t="s">
        <v>861</v>
      </c>
      <c r="E8" s="25">
        <f>+Tabla12[[#Totals],[IR Aprox Mensual]]</f>
        <v>293.15999999999997</v>
      </c>
      <c r="F8" s="23" t="s">
        <v>864</v>
      </c>
      <c r="G8" s="25">
        <f>+Tabla12[[#Totals],[PVP Aprox Mensual2]]</f>
        <v>302.08</v>
      </c>
      <c r="H8" s="23" t="s">
        <v>867</v>
      </c>
      <c r="I8" s="25">
        <f>+Tabla12[[#Totals],[PVP IR Aprox]]</f>
        <v>208.23000000000002</v>
      </c>
    </row>
    <row r="9" spans="2:9" x14ac:dyDescent="0.25">
      <c r="B9" s="23" t="s">
        <v>858</v>
      </c>
      <c r="C9" s="25">
        <f>+'IP publicas'!J2</f>
        <v>2.92</v>
      </c>
      <c r="D9" s="23" t="s">
        <v>862</v>
      </c>
      <c r="E9" s="25"/>
      <c r="F9" s="23" t="s">
        <v>862</v>
      </c>
      <c r="G9" s="25"/>
      <c r="H9" s="23" t="s">
        <v>862</v>
      </c>
      <c r="I9" s="25"/>
    </row>
    <row r="10" spans="2:9" ht="15.75" thickBot="1" x14ac:dyDescent="0.3">
      <c r="B10" s="26" t="s">
        <v>859</v>
      </c>
      <c r="C10" s="27">
        <f>+Tabla4[[#Totals],[PVP Aprox Mensual]]</f>
        <v>12.4</v>
      </c>
      <c r="D10" s="26" t="s">
        <v>863</v>
      </c>
      <c r="E10" s="27">
        <f>+Disco!I4</f>
        <v>7.53</v>
      </c>
      <c r="F10" s="26" t="s">
        <v>863</v>
      </c>
      <c r="G10" s="27">
        <f>+E10</f>
        <v>7.53</v>
      </c>
      <c r="H10" s="26" t="s">
        <v>863</v>
      </c>
      <c r="I10" s="27">
        <f>+G10</f>
        <v>7.53</v>
      </c>
    </row>
    <row r="11" spans="2:9" x14ac:dyDescent="0.25">
      <c r="C11" s="17">
        <f>SUM(C8:C10)</f>
        <v>405.44</v>
      </c>
      <c r="E11" s="17">
        <f>SUM(E8:E10)</f>
        <v>300.68999999999994</v>
      </c>
      <c r="G11" s="17">
        <f>SUM(G8:G10)</f>
        <v>309.60999999999996</v>
      </c>
      <c r="I11" s="17">
        <f>SUM(I8:I10)</f>
        <v>215.76000000000002</v>
      </c>
    </row>
    <row r="13" spans="2:9" x14ac:dyDescent="0.25">
      <c r="E13" s="13">
        <f>+C11-E11</f>
        <v>104.75000000000006</v>
      </c>
      <c r="G13" s="13">
        <f>+C11-G11</f>
        <v>95.830000000000041</v>
      </c>
      <c r="I13" s="13">
        <f>+C11-I11</f>
        <v>189.67999999999998</v>
      </c>
    </row>
    <row r="14" spans="2:9" x14ac:dyDescent="0.25">
      <c r="E14" s="19">
        <f>+E13/C11</f>
        <v>0.25836128650355183</v>
      </c>
      <c r="F14" s="19"/>
      <c r="G14" s="19">
        <f>+G13/C11</f>
        <v>0.23636049723756916</v>
      </c>
      <c r="H14" s="19"/>
      <c r="I14" s="19">
        <f>+I13/C11</f>
        <v>0.46783741120757688</v>
      </c>
    </row>
  </sheetData>
  <mergeCells count="4">
    <mergeCell ref="B6:C6"/>
    <mergeCell ref="D6:E6"/>
    <mergeCell ref="F6:G6"/>
    <mergeCell ref="H6:I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D1683-0383-43D8-800F-5EBF4661915B}">
  <dimension ref="A1:R9"/>
  <sheetViews>
    <sheetView showGridLines="0" tabSelected="1" workbookViewId="0">
      <selection activeCell="P17" sqref="P17"/>
    </sheetView>
  </sheetViews>
  <sheetFormatPr baseColWidth="10" defaultRowHeight="15" x14ac:dyDescent="0.25"/>
  <cols>
    <col min="1" max="1" width="12.7109375" bestFit="1" customWidth="1"/>
    <col min="2" max="2" width="24.5703125" hidden="1" customWidth="1"/>
    <col min="3" max="3" width="17" hidden="1" customWidth="1"/>
    <col min="5" max="5" width="0" hidden="1" customWidth="1"/>
    <col min="6" max="6" width="8.7109375" customWidth="1"/>
    <col min="7" max="7" width="39.42578125" customWidth="1"/>
    <col min="8" max="8" width="17.140625" hidden="1" customWidth="1"/>
    <col min="9" max="9" width="11.7109375" style="18" customWidth="1"/>
    <col min="10" max="10" width="15.42578125" style="18" customWidth="1"/>
    <col min="11" max="11" width="8" style="8" customWidth="1"/>
    <col min="12" max="12" width="8.140625" customWidth="1"/>
    <col min="13" max="13" width="8" customWidth="1"/>
    <col min="14" max="14" width="10.7109375" customWidth="1"/>
    <col min="16" max="16" width="41.7109375" customWidth="1"/>
  </cols>
  <sheetData>
    <row r="1" spans="1:18" x14ac:dyDescent="0.25">
      <c r="A1" s="1" t="s">
        <v>0</v>
      </c>
      <c r="B1" s="1" t="s">
        <v>7</v>
      </c>
      <c r="C1" s="1" t="s">
        <v>5</v>
      </c>
      <c r="D1" s="1" t="s">
        <v>6</v>
      </c>
      <c r="E1" s="1" t="s">
        <v>3</v>
      </c>
      <c r="F1" s="1" t="s">
        <v>824</v>
      </c>
      <c r="G1" s="1" t="s">
        <v>825</v>
      </c>
      <c r="H1" s="1" t="s">
        <v>826</v>
      </c>
      <c r="I1" s="1" t="s">
        <v>847</v>
      </c>
      <c r="J1" s="1" t="s">
        <v>850</v>
      </c>
      <c r="K1" s="3" t="s">
        <v>827</v>
      </c>
      <c r="L1" s="1" t="s">
        <v>837</v>
      </c>
      <c r="M1" s="1" t="s">
        <v>838</v>
      </c>
      <c r="N1" s="1" t="s">
        <v>839</v>
      </c>
      <c r="O1" s="1" t="s">
        <v>840</v>
      </c>
      <c r="P1" s="1" t="s">
        <v>851</v>
      </c>
      <c r="Q1" s="1" t="s">
        <v>853</v>
      </c>
      <c r="R1" s="1" t="s">
        <v>848</v>
      </c>
    </row>
    <row r="2" spans="1:18" x14ac:dyDescent="0.25">
      <c r="A2" s="1" t="s">
        <v>583</v>
      </c>
      <c r="B2" s="1" t="s">
        <v>15</v>
      </c>
      <c r="C2" s="1" t="s">
        <v>167</v>
      </c>
      <c r="D2" s="1" t="s">
        <v>14</v>
      </c>
      <c r="E2" s="1" t="s">
        <v>798</v>
      </c>
      <c r="F2" s="1" t="s">
        <v>828</v>
      </c>
      <c r="G2" s="1" t="s">
        <v>841</v>
      </c>
      <c r="H2" s="1" t="s">
        <v>218</v>
      </c>
      <c r="I2" s="5">
        <v>184.01</v>
      </c>
      <c r="J2" s="5">
        <v>112.29</v>
      </c>
      <c r="K2" s="3">
        <v>2</v>
      </c>
      <c r="L2" s="14">
        <v>0.3604</v>
      </c>
      <c r="M2" s="14">
        <v>5.0099999999999999E-2</v>
      </c>
      <c r="N2" s="14">
        <v>0.51680000000000004</v>
      </c>
      <c r="O2" s="14">
        <v>0.48139999999999999</v>
      </c>
      <c r="P2" s="1" t="s">
        <v>852</v>
      </c>
      <c r="Q2" s="5">
        <v>142.4</v>
      </c>
      <c r="R2" s="5">
        <v>111.54</v>
      </c>
    </row>
    <row r="3" spans="1:18" x14ac:dyDescent="0.25">
      <c r="A3" s="1" t="s">
        <v>222</v>
      </c>
      <c r="B3" s="1" t="s">
        <v>15</v>
      </c>
      <c r="C3" s="1" t="s">
        <v>222</v>
      </c>
      <c r="D3" s="1" t="s">
        <v>14</v>
      </c>
      <c r="E3" s="1" t="s">
        <v>798</v>
      </c>
      <c r="F3" s="1" t="s">
        <v>828</v>
      </c>
      <c r="G3" s="1" t="s">
        <v>842</v>
      </c>
      <c r="H3" s="1" t="s">
        <v>224</v>
      </c>
      <c r="I3" s="5">
        <v>66.63</v>
      </c>
      <c r="J3" s="5">
        <v>41.39</v>
      </c>
      <c r="K3" s="3">
        <v>2</v>
      </c>
      <c r="L3" s="14">
        <v>0.28010000000000002</v>
      </c>
      <c r="M3" s="14">
        <v>1.01E-2</v>
      </c>
      <c r="N3" s="16">
        <v>0.375</v>
      </c>
      <c r="O3" s="9">
        <v>0.2</v>
      </c>
      <c r="P3" s="1" t="s">
        <v>855</v>
      </c>
      <c r="Q3" s="5">
        <v>36.26</v>
      </c>
      <c r="R3" s="5">
        <v>23.64</v>
      </c>
    </row>
    <row r="4" spans="1:18" x14ac:dyDescent="0.25">
      <c r="A4" s="1" t="s">
        <v>177</v>
      </c>
      <c r="B4" s="1" t="s">
        <v>15</v>
      </c>
      <c r="C4" s="1" t="s">
        <v>178</v>
      </c>
      <c r="D4" s="1" t="s">
        <v>14</v>
      </c>
      <c r="E4" s="1" t="s">
        <v>798</v>
      </c>
      <c r="F4" s="1" t="s">
        <v>829</v>
      </c>
      <c r="G4" s="6" t="s">
        <v>843</v>
      </c>
      <c r="H4" s="1" t="s">
        <v>227</v>
      </c>
      <c r="I4" s="5">
        <v>139.47999999999999</v>
      </c>
      <c r="J4" s="5">
        <v>139.47999999999999</v>
      </c>
      <c r="K4" s="3">
        <v>2</v>
      </c>
      <c r="L4" s="14">
        <v>0.66080000000000005</v>
      </c>
      <c r="M4" s="14">
        <v>0.19439999999999999</v>
      </c>
      <c r="N4" s="14">
        <v>0.66249999999999998</v>
      </c>
      <c r="O4" s="9">
        <v>0.65</v>
      </c>
      <c r="P4" s="1" t="s">
        <v>854</v>
      </c>
      <c r="Q4" s="5">
        <v>123.42</v>
      </c>
      <c r="R4" s="5">
        <v>73.05</v>
      </c>
    </row>
    <row r="5" spans="1:18" x14ac:dyDescent="0.25">
      <c r="A5" s="1"/>
      <c r="B5" s="1"/>
      <c r="C5" s="1"/>
      <c r="D5" s="1"/>
      <c r="E5" s="1"/>
      <c r="F5" s="1"/>
      <c r="G5" s="1"/>
      <c r="H5" s="1"/>
      <c r="I5" s="20">
        <f>SUM(I2:I4)</f>
        <v>390.12</v>
      </c>
      <c r="J5" s="20">
        <f>SUM(J2:J4)</f>
        <v>293.15999999999997</v>
      </c>
      <c r="K5" s="3"/>
      <c r="L5" s="1"/>
      <c r="M5" s="1"/>
      <c r="N5" s="1"/>
      <c r="O5" s="1"/>
      <c r="P5" s="1"/>
      <c r="Q5" s="20">
        <f>SUM(Q2:Q4)</f>
        <v>302.08</v>
      </c>
      <c r="R5" s="20">
        <f>SUM(R2:R4)</f>
        <v>208.23000000000002</v>
      </c>
    </row>
    <row r="7" spans="1:18" x14ac:dyDescent="0.25">
      <c r="J7" s="17">
        <f>+Tabla12[[#Totals],[PVP Aprox Mensual]]-Tabla12[[#Totals],[IR Aprox Mensual]]</f>
        <v>96.960000000000036</v>
      </c>
      <c r="R7" s="17">
        <f>+Tabla12[[#Totals],[PVP Aprox Mensual2]]-Tabla12[[#Totals],[PVP IR Aprox]]</f>
        <v>93.849999999999966</v>
      </c>
    </row>
    <row r="8" spans="1:18" x14ac:dyDescent="0.25">
      <c r="J8" s="19">
        <f>+J7/Tabla12[[#Totals],[PVP Aprox Mensual]]</f>
        <v>0.2485389111042757</v>
      </c>
      <c r="R8" s="19">
        <f>+R7/Tabla12[[#Totals],[PVP Aprox Mensual2]]</f>
        <v>0.31067929025423718</v>
      </c>
    </row>
    <row r="9" spans="1:18" x14ac:dyDescent="0.25">
      <c r="M9" s="12"/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AD949-5238-4D26-B555-584120DF9DA9}">
  <dimension ref="A1:E108"/>
  <sheetViews>
    <sheetView showGridLines="0" workbookViewId="0">
      <selection activeCell="E7" sqref="E7"/>
    </sheetView>
  </sheetViews>
  <sheetFormatPr baseColWidth="10" defaultRowHeight="15" x14ac:dyDescent="0.25"/>
  <cols>
    <col min="1" max="1" width="34" bestFit="1" customWidth="1"/>
    <col min="2" max="2" width="24.28515625" bestFit="1" customWidth="1"/>
    <col min="3" max="3" width="12.28515625" customWidth="1"/>
    <col min="4" max="4" width="30.5703125" customWidth="1"/>
    <col min="5" max="5" width="20.140625" customWidth="1"/>
  </cols>
  <sheetData>
    <row r="1" spans="1:5" x14ac:dyDescent="0.25">
      <c r="A1" s="1" t="s">
        <v>0</v>
      </c>
      <c r="B1" s="1" t="s">
        <v>5</v>
      </c>
      <c r="C1" s="1" t="s">
        <v>6</v>
      </c>
      <c r="D1" s="1" t="s">
        <v>7</v>
      </c>
      <c r="E1" s="1" t="s">
        <v>4</v>
      </c>
    </row>
    <row r="2" spans="1:5" x14ac:dyDescent="0.25">
      <c r="A2" s="1" t="s">
        <v>238</v>
      </c>
      <c r="B2" s="1" t="s">
        <v>235</v>
      </c>
      <c r="C2" s="1" t="s">
        <v>14</v>
      </c>
      <c r="D2" s="1" t="s">
        <v>15</v>
      </c>
      <c r="E2" s="1" t="s">
        <v>239</v>
      </c>
    </row>
    <row r="3" spans="1:5" x14ac:dyDescent="0.25">
      <c r="A3" s="1" t="s">
        <v>352</v>
      </c>
      <c r="B3" s="1" t="s">
        <v>353</v>
      </c>
      <c r="C3" s="1" t="s">
        <v>14</v>
      </c>
      <c r="D3" s="1" t="s">
        <v>15</v>
      </c>
      <c r="E3" s="1" t="s">
        <v>239</v>
      </c>
    </row>
    <row r="4" spans="1:5" x14ac:dyDescent="0.25">
      <c r="A4" s="1" t="s">
        <v>358</v>
      </c>
      <c r="B4" s="1" t="s">
        <v>19</v>
      </c>
      <c r="C4" s="1" t="s">
        <v>24</v>
      </c>
      <c r="D4" s="1" t="s">
        <v>15</v>
      </c>
      <c r="E4" s="1" t="s">
        <v>239</v>
      </c>
    </row>
    <row r="5" spans="1:5" x14ac:dyDescent="0.25">
      <c r="A5" s="1" t="s">
        <v>361</v>
      </c>
      <c r="B5" s="1" t="s">
        <v>19</v>
      </c>
      <c r="C5" s="1" t="s">
        <v>14</v>
      </c>
      <c r="D5" s="1" t="s">
        <v>15</v>
      </c>
      <c r="E5" s="1" t="s">
        <v>239</v>
      </c>
    </row>
    <row r="6" spans="1:5" x14ac:dyDescent="0.25">
      <c r="A6" s="1" t="s">
        <v>364</v>
      </c>
      <c r="B6" s="1" t="s">
        <v>19</v>
      </c>
      <c r="C6" s="1" t="s">
        <v>14</v>
      </c>
      <c r="D6" s="1" t="s">
        <v>15</v>
      </c>
      <c r="E6" s="1" t="s">
        <v>239</v>
      </c>
    </row>
    <row r="7" spans="1:5" x14ac:dyDescent="0.25">
      <c r="A7" s="1" t="s">
        <v>373</v>
      </c>
      <c r="B7" s="1" t="s">
        <v>19</v>
      </c>
      <c r="C7" s="1" t="s">
        <v>14</v>
      </c>
      <c r="D7" s="1" t="s">
        <v>15</v>
      </c>
      <c r="E7" s="1" t="s">
        <v>239</v>
      </c>
    </row>
    <row r="8" spans="1:5" x14ac:dyDescent="0.25">
      <c r="A8" s="1" t="s">
        <v>374</v>
      </c>
      <c r="B8" s="1" t="s">
        <v>19</v>
      </c>
      <c r="C8" s="1" t="s">
        <v>14</v>
      </c>
      <c r="D8" s="1" t="s">
        <v>15</v>
      </c>
      <c r="E8" s="1" t="s">
        <v>239</v>
      </c>
    </row>
    <row r="9" spans="1:5" x14ac:dyDescent="0.25">
      <c r="A9" s="1" t="s">
        <v>377</v>
      </c>
      <c r="B9" s="1" t="s">
        <v>19</v>
      </c>
      <c r="C9" s="1" t="s">
        <v>14</v>
      </c>
      <c r="D9" s="1" t="s">
        <v>15</v>
      </c>
      <c r="E9" s="1" t="s">
        <v>239</v>
      </c>
    </row>
    <row r="10" spans="1:5" x14ac:dyDescent="0.25">
      <c r="A10" s="1" t="s">
        <v>379</v>
      </c>
      <c r="B10" s="1" t="s">
        <v>19</v>
      </c>
      <c r="C10" s="1" t="s">
        <v>14</v>
      </c>
      <c r="D10" s="1" t="s">
        <v>15</v>
      </c>
      <c r="E10" s="1" t="s">
        <v>239</v>
      </c>
    </row>
    <row r="11" spans="1:5" x14ac:dyDescent="0.25">
      <c r="A11" s="1" t="s">
        <v>381</v>
      </c>
      <c r="B11" s="1" t="s">
        <v>19</v>
      </c>
      <c r="C11" s="1" t="s">
        <v>14</v>
      </c>
      <c r="D11" s="1" t="s">
        <v>15</v>
      </c>
      <c r="E11" s="1" t="s">
        <v>239</v>
      </c>
    </row>
    <row r="12" spans="1:5" x14ac:dyDescent="0.25">
      <c r="A12" s="1" t="s">
        <v>383</v>
      </c>
      <c r="B12" s="1" t="s">
        <v>19</v>
      </c>
      <c r="C12" s="1" t="s">
        <v>14</v>
      </c>
      <c r="D12" s="1" t="s">
        <v>15</v>
      </c>
      <c r="E12" s="1" t="s">
        <v>239</v>
      </c>
    </row>
    <row r="13" spans="1:5" x14ac:dyDescent="0.25">
      <c r="A13" s="1" t="s">
        <v>384</v>
      </c>
      <c r="B13" s="1" t="s">
        <v>19</v>
      </c>
      <c r="C13" s="1" t="s">
        <v>14</v>
      </c>
      <c r="D13" s="1" t="s">
        <v>15</v>
      </c>
      <c r="E13" s="1" t="s">
        <v>239</v>
      </c>
    </row>
    <row r="14" spans="1:5" x14ac:dyDescent="0.25">
      <c r="A14" s="1" t="s">
        <v>387</v>
      </c>
      <c r="B14" s="1" t="s">
        <v>19</v>
      </c>
      <c r="C14" s="1" t="s">
        <v>14</v>
      </c>
      <c r="D14" s="1" t="s">
        <v>15</v>
      </c>
      <c r="E14" s="1" t="s">
        <v>239</v>
      </c>
    </row>
    <row r="15" spans="1:5" x14ac:dyDescent="0.25">
      <c r="A15" s="1" t="s">
        <v>389</v>
      </c>
      <c r="B15" s="1" t="s">
        <v>19</v>
      </c>
      <c r="C15" s="1" t="s">
        <v>14</v>
      </c>
      <c r="D15" s="1" t="s">
        <v>15</v>
      </c>
      <c r="E15" s="1" t="s">
        <v>239</v>
      </c>
    </row>
    <row r="16" spans="1:5" x14ac:dyDescent="0.25">
      <c r="A16" s="1" t="s">
        <v>397</v>
      </c>
      <c r="B16" s="1" t="s">
        <v>19</v>
      </c>
      <c r="C16" s="1" t="s">
        <v>14</v>
      </c>
      <c r="D16" s="1" t="s">
        <v>15</v>
      </c>
      <c r="E16" s="1" t="s">
        <v>239</v>
      </c>
    </row>
    <row r="17" spans="1:5" x14ac:dyDescent="0.25">
      <c r="A17" s="1" t="s">
        <v>398</v>
      </c>
      <c r="B17" s="1" t="s">
        <v>19</v>
      </c>
      <c r="C17" s="1" t="s">
        <v>14</v>
      </c>
      <c r="D17" s="1" t="s">
        <v>15</v>
      </c>
      <c r="E17" s="1" t="s">
        <v>239</v>
      </c>
    </row>
    <row r="18" spans="1:5" x14ac:dyDescent="0.25">
      <c r="A18" s="1" t="s">
        <v>402</v>
      </c>
      <c r="B18" s="1" t="s">
        <v>19</v>
      </c>
      <c r="C18" s="1" t="s">
        <v>14</v>
      </c>
      <c r="D18" s="1" t="s">
        <v>15</v>
      </c>
      <c r="E18" s="1" t="s">
        <v>239</v>
      </c>
    </row>
    <row r="19" spans="1:5" x14ac:dyDescent="0.25">
      <c r="A19" s="1" t="s">
        <v>405</v>
      </c>
      <c r="B19" s="1" t="s">
        <v>19</v>
      </c>
      <c r="C19" s="1" t="s">
        <v>14</v>
      </c>
      <c r="D19" s="1" t="s">
        <v>15</v>
      </c>
      <c r="E19" s="1" t="s">
        <v>239</v>
      </c>
    </row>
    <row r="20" spans="1:5" x14ac:dyDescent="0.25">
      <c r="A20" s="1" t="s">
        <v>406</v>
      </c>
      <c r="B20" s="1" t="s">
        <v>19</v>
      </c>
      <c r="C20" s="1" t="s">
        <v>14</v>
      </c>
      <c r="D20" s="1" t="s">
        <v>15</v>
      </c>
      <c r="E20" s="1" t="s">
        <v>239</v>
      </c>
    </row>
    <row r="21" spans="1:5" x14ac:dyDescent="0.25">
      <c r="A21" s="1" t="s">
        <v>411</v>
      </c>
      <c r="B21" s="1" t="s">
        <v>19</v>
      </c>
      <c r="C21" s="1" t="s">
        <v>14</v>
      </c>
      <c r="D21" s="1" t="s">
        <v>15</v>
      </c>
      <c r="E21" s="1" t="s">
        <v>239</v>
      </c>
    </row>
    <row r="22" spans="1:5" x14ac:dyDescent="0.25">
      <c r="A22" s="1" t="s">
        <v>412</v>
      </c>
      <c r="B22" s="1" t="s">
        <v>19</v>
      </c>
      <c r="C22" s="1" t="s">
        <v>14</v>
      </c>
      <c r="D22" s="1" t="s">
        <v>15</v>
      </c>
      <c r="E22" s="1" t="s">
        <v>239</v>
      </c>
    </row>
    <row r="23" spans="1:5" x14ac:dyDescent="0.25">
      <c r="A23" s="1" t="s">
        <v>413</v>
      </c>
      <c r="B23" s="1" t="s">
        <v>19</v>
      </c>
      <c r="C23" s="1" t="s">
        <v>14</v>
      </c>
      <c r="D23" s="1" t="s">
        <v>15</v>
      </c>
      <c r="E23" s="1" t="s">
        <v>239</v>
      </c>
    </row>
    <row r="24" spans="1:5" x14ac:dyDescent="0.25">
      <c r="A24" s="1" t="s">
        <v>416</v>
      </c>
      <c r="B24" s="1" t="s">
        <v>19</v>
      </c>
      <c r="C24" s="1" t="s">
        <v>14</v>
      </c>
      <c r="D24" s="1" t="s">
        <v>15</v>
      </c>
      <c r="E24" s="1" t="s">
        <v>239</v>
      </c>
    </row>
    <row r="25" spans="1:5" x14ac:dyDescent="0.25">
      <c r="A25" s="1" t="s">
        <v>430</v>
      </c>
      <c r="B25" s="1" t="s">
        <v>19</v>
      </c>
      <c r="C25" s="1" t="s">
        <v>14</v>
      </c>
      <c r="D25" s="1" t="s">
        <v>15</v>
      </c>
      <c r="E25" s="1" t="s">
        <v>239</v>
      </c>
    </row>
    <row r="26" spans="1:5" x14ac:dyDescent="0.25">
      <c r="A26" s="1" t="s">
        <v>431</v>
      </c>
      <c r="B26" s="1" t="s">
        <v>19</v>
      </c>
      <c r="C26" s="1" t="s">
        <v>14</v>
      </c>
      <c r="D26" s="1" t="s">
        <v>15</v>
      </c>
      <c r="E26" s="1" t="s">
        <v>239</v>
      </c>
    </row>
    <row r="27" spans="1:5" x14ac:dyDescent="0.25">
      <c r="A27" s="1" t="s">
        <v>433</v>
      </c>
      <c r="B27" s="1" t="s">
        <v>19</v>
      </c>
      <c r="C27" s="1" t="s">
        <v>244</v>
      </c>
      <c r="D27" s="1" t="s">
        <v>15</v>
      </c>
      <c r="E27" s="1" t="s">
        <v>239</v>
      </c>
    </row>
    <row r="28" spans="1:5" x14ac:dyDescent="0.25">
      <c r="A28" s="1" t="s">
        <v>434</v>
      </c>
      <c r="B28" s="1" t="s">
        <v>19</v>
      </c>
      <c r="C28" s="1" t="s">
        <v>14</v>
      </c>
      <c r="D28" s="1" t="s">
        <v>15</v>
      </c>
      <c r="E28" s="1" t="s">
        <v>239</v>
      </c>
    </row>
    <row r="29" spans="1:5" x14ac:dyDescent="0.25">
      <c r="A29" s="1" t="s">
        <v>439</v>
      </c>
      <c r="B29" s="1" t="s">
        <v>19</v>
      </c>
      <c r="C29" s="1" t="s">
        <v>14</v>
      </c>
      <c r="D29" s="1" t="s">
        <v>15</v>
      </c>
      <c r="E29" s="1" t="s">
        <v>239</v>
      </c>
    </row>
    <row r="30" spans="1:5" x14ac:dyDescent="0.25">
      <c r="A30" s="1" t="s">
        <v>440</v>
      </c>
      <c r="B30" s="1" t="s">
        <v>19</v>
      </c>
      <c r="C30" s="1" t="s">
        <v>24</v>
      </c>
      <c r="D30" s="1" t="s">
        <v>15</v>
      </c>
      <c r="E30" s="1" t="s">
        <v>239</v>
      </c>
    </row>
    <row r="31" spans="1:5" x14ac:dyDescent="0.25">
      <c r="A31" s="1" t="s">
        <v>442</v>
      </c>
      <c r="B31" s="1" t="s">
        <v>19</v>
      </c>
      <c r="C31" s="1" t="s">
        <v>14</v>
      </c>
      <c r="D31" s="1" t="s">
        <v>15</v>
      </c>
      <c r="E31" s="1" t="s">
        <v>239</v>
      </c>
    </row>
    <row r="32" spans="1:5" x14ac:dyDescent="0.25">
      <c r="A32" s="1" t="s">
        <v>444</v>
      </c>
      <c r="B32" s="1" t="s">
        <v>19</v>
      </c>
      <c r="C32" s="1" t="s">
        <v>14</v>
      </c>
      <c r="D32" s="1" t="s">
        <v>15</v>
      </c>
      <c r="E32" s="1" t="s">
        <v>239</v>
      </c>
    </row>
    <row r="33" spans="1:5" x14ac:dyDescent="0.25">
      <c r="A33" s="1" t="s">
        <v>447</v>
      </c>
      <c r="B33" s="1" t="s">
        <v>19</v>
      </c>
      <c r="C33" s="1" t="s">
        <v>14</v>
      </c>
      <c r="D33" s="1" t="s">
        <v>15</v>
      </c>
      <c r="E33" s="1" t="s">
        <v>239</v>
      </c>
    </row>
    <row r="34" spans="1:5" x14ac:dyDescent="0.25">
      <c r="A34" s="1" t="s">
        <v>452</v>
      </c>
      <c r="B34" s="1" t="s">
        <v>19</v>
      </c>
      <c r="C34" s="1" t="s">
        <v>14</v>
      </c>
      <c r="D34" s="1" t="s">
        <v>15</v>
      </c>
      <c r="E34" s="1" t="s">
        <v>239</v>
      </c>
    </row>
    <row r="35" spans="1:5" x14ac:dyDescent="0.25">
      <c r="A35" s="1" t="s">
        <v>453</v>
      </c>
      <c r="B35" s="1" t="s">
        <v>19</v>
      </c>
      <c r="C35" s="1" t="s">
        <v>14</v>
      </c>
      <c r="D35" s="1" t="s">
        <v>15</v>
      </c>
      <c r="E35" s="1" t="s">
        <v>239</v>
      </c>
    </row>
    <row r="36" spans="1:5" x14ac:dyDescent="0.25">
      <c r="A36" s="1" t="s">
        <v>454</v>
      </c>
      <c r="B36" s="1" t="s">
        <v>19</v>
      </c>
      <c r="C36" s="1" t="s">
        <v>14</v>
      </c>
      <c r="D36" s="1" t="s">
        <v>15</v>
      </c>
      <c r="E36" s="1" t="s">
        <v>239</v>
      </c>
    </row>
    <row r="37" spans="1:5" x14ac:dyDescent="0.25">
      <c r="A37" s="1" t="s">
        <v>455</v>
      </c>
      <c r="B37" s="1" t="s">
        <v>19</v>
      </c>
      <c r="C37" s="1" t="s">
        <v>14</v>
      </c>
      <c r="D37" s="1" t="s">
        <v>15</v>
      </c>
      <c r="E37" s="1" t="s">
        <v>239</v>
      </c>
    </row>
    <row r="38" spans="1:5" x14ac:dyDescent="0.25">
      <c r="A38" s="1" t="s">
        <v>456</v>
      </c>
      <c r="B38" s="1" t="s">
        <v>19</v>
      </c>
      <c r="C38" s="1" t="s">
        <v>14</v>
      </c>
      <c r="D38" s="1" t="s">
        <v>15</v>
      </c>
      <c r="E38" s="1" t="s">
        <v>239</v>
      </c>
    </row>
    <row r="39" spans="1:5" x14ac:dyDescent="0.25">
      <c r="A39" s="1" t="s">
        <v>457</v>
      </c>
      <c r="B39" s="1" t="s">
        <v>19</v>
      </c>
      <c r="C39" s="1" t="s">
        <v>14</v>
      </c>
      <c r="D39" s="1" t="s">
        <v>15</v>
      </c>
      <c r="E39" s="1" t="s">
        <v>239</v>
      </c>
    </row>
    <row r="40" spans="1:5" x14ac:dyDescent="0.25">
      <c r="A40" s="1" t="s">
        <v>458</v>
      </c>
      <c r="B40" s="1" t="s">
        <v>19</v>
      </c>
      <c r="C40" s="1" t="s">
        <v>24</v>
      </c>
      <c r="D40" s="1" t="s">
        <v>15</v>
      </c>
      <c r="E40" s="1" t="s">
        <v>239</v>
      </c>
    </row>
    <row r="41" spans="1:5" x14ac:dyDescent="0.25">
      <c r="A41" s="1" t="s">
        <v>459</v>
      </c>
      <c r="B41" s="1" t="s">
        <v>19</v>
      </c>
      <c r="C41" s="1" t="s">
        <v>14</v>
      </c>
      <c r="D41" s="1" t="s">
        <v>15</v>
      </c>
      <c r="E41" s="1" t="s">
        <v>239</v>
      </c>
    </row>
    <row r="42" spans="1:5" x14ac:dyDescent="0.25">
      <c r="A42" s="1" t="s">
        <v>462</v>
      </c>
      <c r="B42" s="1" t="s">
        <v>19</v>
      </c>
      <c r="C42" s="1" t="s">
        <v>14</v>
      </c>
      <c r="D42" s="1" t="s">
        <v>15</v>
      </c>
      <c r="E42" s="1" t="s">
        <v>239</v>
      </c>
    </row>
    <row r="43" spans="1:5" x14ac:dyDescent="0.25">
      <c r="A43" s="1" t="s">
        <v>464</v>
      </c>
      <c r="B43" s="1" t="s">
        <v>19</v>
      </c>
      <c r="C43" s="1" t="s">
        <v>14</v>
      </c>
      <c r="D43" s="1" t="s">
        <v>15</v>
      </c>
      <c r="E43" s="1" t="s">
        <v>239</v>
      </c>
    </row>
    <row r="44" spans="1:5" x14ac:dyDescent="0.25">
      <c r="A44" s="1" t="s">
        <v>469</v>
      </c>
      <c r="B44" s="1" t="s">
        <v>19</v>
      </c>
      <c r="C44" s="1" t="s">
        <v>14</v>
      </c>
      <c r="D44" s="1" t="s">
        <v>15</v>
      </c>
      <c r="E44" s="1" t="s">
        <v>239</v>
      </c>
    </row>
    <row r="45" spans="1:5" x14ac:dyDescent="0.25">
      <c r="A45" s="1" t="s">
        <v>472</v>
      </c>
      <c r="B45" s="1" t="s">
        <v>19</v>
      </c>
      <c r="C45" s="1" t="s">
        <v>14</v>
      </c>
      <c r="D45" s="1" t="s">
        <v>15</v>
      </c>
      <c r="E45" s="1" t="s">
        <v>239</v>
      </c>
    </row>
    <row r="46" spans="1:5" x14ac:dyDescent="0.25">
      <c r="A46" s="1" t="s">
        <v>473</v>
      </c>
      <c r="B46" s="1" t="s">
        <v>19</v>
      </c>
      <c r="C46" s="1" t="s">
        <v>14</v>
      </c>
      <c r="D46" s="1" t="s">
        <v>15</v>
      </c>
      <c r="E46" s="1" t="s">
        <v>239</v>
      </c>
    </row>
    <row r="47" spans="1:5" x14ac:dyDescent="0.25">
      <c r="A47" s="1" t="s">
        <v>474</v>
      </c>
      <c r="B47" s="1" t="s">
        <v>19</v>
      </c>
      <c r="C47" s="1" t="s">
        <v>244</v>
      </c>
      <c r="D47" s="1" t="s">
        <v>15</v>
      </c>
      <c r="E47" s="1" t="s">
        <v>239</v>
      </c>
    </row>
    <row r="48" spans="1:5" x14ac:dyDescent="0.25">
      <c r="A48" s="1" t="s">
        <v>475</v>
      </c>
      <c r="B48" s="1" t="s">
        <v>19</v>
      </c>
      <c r="C48" s="1" t="s">
        <v>14</v>
      </c>
      <c r="D48" s="1" t="s">
        <v>15</v>
      </c>
      <c r="E48" s="1" t="s">
        <v>239</v>
      </c>
    </row>
    <row r="49" spans="1:5" x14ac:dyDescent="0.25">
      <c r="A49" s="1" t="s">
        <v>477</v>
      </c>
      <c r="B49" s="1" t="s">
        <v>19</v>
      </c>
      <c r="C49" s="1" t="s">
        <v>14</v>
      </c>
      <c r="D49" s="1" t="s">
        <v>15</v>
      </c>
      <c r="E49" s="1" t="s">
        <v>239</v>
      </c>
    </row>
    <row r="50" spans="1:5" x14ac:dyDescent="0.25">
      <c r="A50" s="1" t="s">
        <v>481</v>
      </c>
      <c r="B50" s="1" t="s">
        <v>19</v>
      </c>
      <c r="C50" s="1" t="s">
        <v>14</v>
      </c>
      <c r="D50" s="1" t="s">
        <v>15</v>
      </c>
      <c r="E50" s="1" t="s">
        <v>239</v>
      </c>
    </row>
    <row r="51" spans="1:5" x14ac:dyDescent="0.25">
      <c r="A51" s="1" t="s">
        <v>498</v>
      </c>
      <c r="B51" s="1" t="s">
        <v>19</v>
      </c>
      <c r="C51" s="1" t="s">
        <v>14</v>
      </c>
      <c r="D51" s="1" t="s">
        <v>15</v>
      </c>
      <c r="E51" s="1" t="s">
        <v>239</v>
      </c>
    </row>
    <row r="52" spans="1:5" x14ac:dyDescent="0.25">
      <c r="A52" s="1" t="s">
        <v>499</v>
      </c>
      <c r="B52" s="1" t="s">
        <v>19</v>
      </c>
      <c r="C52" s="1" t="s">
        <v>14</v>
      </c>
      <c r="D52" s="1" t="s">
        <v>15</v>
      </c>
      <c r="E52" s="1" t="s">
        <v>239</v>
      </c>
    </row>
    <row r="53" spans="1:5" x14ac:dyDescent="0.25">
      <c r="A53" s="1" t="s">
        <v>501</v>
      </c>
      <c r="B53" s="1" t="s">
        <v>19</v>
      </c>
      <c r="C53" s="1" t="s">
        <v>14</v>
      </c>
      <c r="D53" s="1" t="s">
        <v>15</v>
      </c>
      <c r="E53" s="1" t="s">
        <v>239</v>
      </c>
    </row>
    <row r="54" spans="1:5" x14ac:dyDescent="0.25">
      <c r="A54" s="1" t="s">
        <v>514</v>
      </c>
      <c r="B54" s="1" t="s">
        <v>19</v>
      </c>
      <c r="C54" s="1" t="s">
        <v>14</v>
      </c>
      <c r="D54" s="1" t="s">
        <v>15</v>
      </c>
      <c r="E54" s="1" t="s">
        <v>239</v>
      </c>
    </row>
    <row r="55" spans="1:5" x14ac:dyDescent="0.25">
      <c r="A55" s="1" t="s">
        <v>521</v>
      </c>
      <c r="B55" s="1" t="s">
        <v>19</v>
      </c>
      <c r="C55" s="1" t="s">
        <v>14</v>
      </c>
      <c r="D55" s="1" t="s">
        <v>15</v>
      </c>
      <c r="E55" s="1" t="s">
        <v>239</v>
      </c>
    </row>
    <row r="56" spans="1:5" x14ac:dyDescent="0.25">
      <c r="A56" s="1" t="s">
        <v>529</v>
      </c>
      <c r="B56" s="1" t="s">
        <v>19</v>
      </c>
      <c r="C56" s="1" t="s">
        <v>14</v>
      </c>
      <c r="D56" s="1" t="s">
        <v>15</v>
      </c>
      <c r="E56" s="1" t="s">
        <v>239</v>
      </c>
    </row>
    <row r="57" spans="1:5" x14ac:dyDescent="0.25">
      <c r="A57" s="1" t="s">
        <v>536</v>
      </c>
      <c r="B57" s="1" t="s">
        <v>19</v>
      </c>
      <c r="C57" s="1" t="s">
        <v>14</v>
      </c>
      <c r="D57" s="1" t="s">
        <v>15</v>
      </c>
      <c r="E57" s="1" t="s">
        <v>239</v>
      </c>
    </row>
    <row r="58" spans="1:5" x14ac:dyDescent="0.25">
      <c r="A58" s="1" t="s">
        <v>539</v>
      </c>
      <c r="B58" s="1" t="s">
        <v>19</v>
      </c>
      <c r="C58" s="1" t="s">
        <v>14</v>
      </c>
      <c r="D58" s="1" t="s">
        <v>15</v>
      </c>
      <c r="E58" s="1" t="s">
        <v>239</v>
      </c>
    </row>
    <row r="59" spans="1:5" x14ac:dyDescent="0.25">
      <c r="A59" s="1" t="s">
        <v>540</v>
      </c>
      <c r="B59" s="1" t="s">
        <v>19</v>
      </c>
      <c r="C59" s="1" t="s">
        <v>14</v>
      </c>
      <c r="D59" s="1" t="s">
        <v>15</v>
      </c>
      <c r="E59" s="1" t="s">
        <v>239</v>
      </c>
    </row>
    <row r="60" spans="1:5" x14ac:dyDescent="0.25">
      <c r="A60" s="1" t="s">
        <v>541</v>
      </c>
      <c r="B60" s="1" t="s">
        <v>19</v>
      </c>
      <c r="C60" s="1" t="s">
        <v>14</v>
      </c>
      <c r="D60" s="1" t="s">
        <v>15</v>
      </c>
      <c r="E60" s="1" t="s">
        <v>239</v>
      </c>
    </row>
    <row r="61" spans="1:5" x14ac:dyDescent="0.25">
      <c r="A61" s="1" t="s">
        <v>596</v>
      </c>
      <c r="B61" s="1" t="s">
        <v>579</v>
      </c>
      <c r="C61" s="1" t="s">
        <v>14</v>
      </c>
      <c r="D61" s="1" t="s">
        <v>15</v>
      </c>
      <c r="E61" s="1" t="s">
        <v>239</v>
      </c>
    </row>
    <row r="62" spans="1:5" x14ac:dyDescent="0.25">
      <c r="A62" s="1" t="s">
        <v>618</v>
      </c>
      <c r="B62" s="1" t="s">
        <v>237</v>
      </c>
      <c r="C62" s="1" t="s">
        <v>14</v>
      </c>
      <c r="D62" s="1" t="s">
        <v>15</v>
      </c>
      <c r="E62" s="1" t="s">
        <v>239</v>
      </c>
    </row>
    <row r="63" spans="1:5" x14ac:dyDescent="0.25">
      <c r="A63" s="1" t="s">
        <v>620</v>
      </c>
      <c r="B63" s="1" t="s">
        <v>169</v>
      </c>
      <c r="C63" s="1" t="s">
        <v>14</v>
      </c>
      <c r="D63" s="1" t="s">
        <v>15</v>
      </c>
      <c r="E63" s="1" t="s">
        <v>239</v>
      </c>
    </row>
    <row r="64" spans="1:5" x14ac:dyDescent="0.25">
      <c r="A64" s="1" t="s">
        <v>624</v>
      </c>
      <c r="B64" s="1" t="s">
        <v>19</v>
      </c>
      <c r="C64" s="1" t="s">
        <v>14</v>
      </c>
      <c r="D64" s="1" t="s">
        <v>15</v>
      </c>
      <c r="E64" s="1" t="s">
        <v>239</v>
      </c>
    </row>
    <row r="65" spans="1:5" x14ac:dyDescent="0.25">
      <c r="A65" s="1" t="s">
        <v>632</v>
      </c>
      <c r="B65" s="1" t="s">
        <v>611</v>
      </c>
      <c r="C65" s="1" t="s">
        <v>14</v>
      </c>
      <c r="D65" s="1" t="s">
        <v>15</v>
      </c>
      <c r="E65" s="1" t="s">
        <v>239</v>
      </c>
    </row>
    <row r="66" spans="1:5" x14ac:dyDescent="0.25">
      <c r="A66" s="1" t="s">
        <v>635</v>
      </c>
      <c r="B66" s="1" t="s">
        <v>557</v>
      </c>
      <c r="C66" s="1" t="s">
        <v>14</v>
      </c>
      <c r="D66" s="1" t="s">
        <v>15</v>
      </c>
      <c r="E66" s="1" t="s">
        <v>239</v>
      </c>
    </row>
    <row r="67" spans="1:5" x14ac:dyDescent="0.25">
      <c r="A67" s="1" t="s">
        <v>637</v>
      </c>
      <c r="B67" s="1" t="s">
        <v>21</v>
      </c>
      <c r="C67" s="1" t="s">
        <v>14</v>
      </c>
      <c r="D67" s="1" t="s">
        <v>15</v>
      </c>
      <c r="E67" s="1" t="s">
        <v>239</v>
      </c>
    </row>
    <row r="68" spans="1:5" x14ac:dyDescent="0.25">
      <c r="A68" s="1" t="s">
        <v>638</v>
      </c>
      <c r="B68" s="1" t="s">
        <v>21</v>
      </c>
      <c r="C68" s="1" t="s">
        <v>14</v>
      </c>
      <c r="D68" s="1" t="s">
        <v>15</v>
      </c>
      <c r="E68" s="1" t="s">
        <v>239</v>
      </c>
    </row>
    <row r="69" spans="1:5" x14ac:dyDescent="0.25">
      <c r="A69" s="1" t="s">
        <v>641</v>
      </c>
      <c r="B69" s="1" t="s">
        <v>167</v>
      </c>
      <c r="C69" s="1" t="s">
        <v>14</v>
      </c>
      <c r="D69" s="1" t="s">
        <v>15</v>
      </c>
      <c r="E69" s="1" t="s">
        <v>239</v>
      </c>
    </row>
    <row r="70" spans="1:5" x14ac:dyDescent="0.25">
      <c r="A70" s="1" t="s">
        <v>647</v>
      </c>
      <c r="B70" s="1" t="s">
        <v>598</v>
      </c>
      <c r="C70" s="1" t="s">
        <v>14</v>
      </c>
      <c r="D70" s="1" t="s">
        <v>15</v>
      </c>
      <c r="E70" s="1" t="s">
        <v>239</v>
      </c>
    </row>
    <row r="71" spans="1:5" x14ac:dyDescent="0.25">
      <c r="A71" s="1" t="s">
        <v>648</v>
      </c>
      <c r="B71" s="1" t="s">
        <v>64</v>
      </c>
      <c r="C71" s="1" t="s">
        <v>14</v>
      </c>
      <c r="D71" s="1" t="s">
        <v>15</v>
      </c>
      <c r="E71" s="1" t="s">
        <v>239</v>
      </c>
    </row>
    <row r="72" spans="1:5" x14ac:dyDescent="0.25">
      <c r="A72" s="1" t="s">
        <v>650</v>
      </c>
      <c r="B72" s="1" t="s">
        <v>592</v>
      </c>
      <c r="C72" s="1" t="s">
        <v>14</v>
      </c>
      <c r="D72" s="1" t="s">
        <v>15</v>
      </c>
      <c r="E72" s="1" t="s">
        <v>239</v>
      </c>
    </row>
    <row r="73" spans="1:5" x14ac:dyDescent="0.25">
      <c r="A73" s="1" t="s">
        <v>653</v>
      </c>
      <c r="B73" s="1" t="s">
        <v>605</v>
      </c>
      <c r="C73" s="1" t="s">
        <v>14</v>
      </c>
      <c r="D73" s="1" t="s">
        <v>15</v>
      </c>
      <c r="E73" s="1" t="s">
        <v>239</v>
      </c>
    </row>
    <row r="74" spans="1:5" x14ac:dyDescent="0.25">
      <c r="A74" s="1" t="s">
        <v>654</v>
      </c>
      <c r="B74" s="1" t="s">
        <v>237</v>
      </c>
      <c r="C74" s="1" t="s">
        <v>14</v>
      </c>
      <c r="D74" s="1" t="s">
        <v>15</v>
      </c>
      <c r="E74" s="1" t="s">
        <v>239</v>
      </c>
    </row>
    <row r="75" spans="1:5" x14ac:dyDescent="0.25">
      <c r="A75" s="1" t="s">
        <v>655</v>
      </c>
      <c r="B75" s="1" t="s">
        <v>237</v>
      </c>
      <c r="C75" s="1" t="s">
        <v>14</v>
      </c>
      <c r="D75" s="1" t="s">
        <v>15</v>
      </c>
      <c r="E75" s="1" t="s">
        <v>239</v>
      </c>
    </row>
    <row r="76" spans="1:5" x14ac:dyDescent="0.25">
      <c r="A76" s="1" t="s">
        <v>657</v>
      </c>
      <c r="B76" s="1" t="s">
        <v>237</v>
      </c>
      <c r="C76" s="1" t="s">
        <v>14</v>
      </c>
      <c r="D76" s="1" t="s">
        <v>15</v>
      </c>
      <c r="E76" s="1" t="s">
        <v>239</v>
      </c>
    </row>
    <row r="77" spans="1:5" x14ac:dyDescent="0.25">
      <c r="A77" s="1" t="s">
        <v>662</v>
      </c>
      <c r="B77" s="1" t="s">
        <v>235</v>
      </c>
      <c r="C77" s="1" t="s">
        <v>14</v>
      </c>
      <c r="D77" s="1" t="s">
        <v>15</v>
      </c>
      <c r="E77" s="1" t="s">
        <v>239</v>
      </c>
    </row>
    <row r="78" spans="1:5" x14ac:dyDescent="0.25">
      <c r="A78" s="1" t="s">
        <v>663</v>
      </c>
      <c r="B78" s="1" t="s">
        <v>237</v>
      </c>
      <c r="C78" s="1" t="s">
        <v>14</v>
      </c>
      <c r="D78" s="1" t="s">
        <v>15</v>
      </c>
      <c r="E78" s="1" t="s">
        <v>239</v>
      </c>
    </row>
    <row r="79" spans="1:5" x14ac:dyDescent="0.25">
      <c r="A79" s="1" t="s">
        <v>664</v>
      </c>
      <c r="B79" s="1" t="s">
        <v>237</v>
      </c>
      <c r="C79" s="1" t="s">
        <v>14</v>
      </c>
      <c r="D79" s="1" t="s">
        <v>15</v>
      </c>
      <c r="E79" s="1" t="s">
        <v>239</v>
      </c>
    </row>
    <row r="80" spans="1:5" x14ac:dyDescent="0.25">
      <c r="A80" s="1" t="s">
        <v>666</v>
      </c>
      <c r="B80" s="1" t="s">
        <v>237</v>
      </c>
      <c r="C80" s="1" t="s">
        <v>14</v>
      </c>
      <c r="D80" s="1" t="s">
        <v>15</v>
      </c>
      <c r="E80" s="1" t="s">
        <v>239</v>
      </c>
    </row>
    <row r="81" spans="1:5" x14ac:dyDescent="0.25">
      <c r="A81" s="1" t="s">
        <v>671</v>
      </c>
      <c r="B81" s="1" t="s">
        <v>308</v>
      </c>
      <c r="C81" s="1" t="s">
        <v>14</v>
      </c>
      <c r="D81" s="1" t="s">
        <v>15</v>
      </c>
      <c r="E81" s="1" t="s">
        <v>239</v>
      </c>
    </row>
    <row r="82" spans="1:5" x14ac:dyDescent="0.25">
      <c r="A82" s="1" t="s">
        <v>672</v>
      </c>
      <c r="B82" s="1" t="s">
        <v>237</v>
      </c>
      <c r="C82" s="1" t="s">
        <v>14</v>
      </c>
      <c r="D82" s="1" t="s">
        <v>15</v>
      </c>
      <c r="E82" s="1" t="s">
        <v>239</v>
      </c>
    </row>
    <row r="83" spans="1:5" x14ac:dyDescent="0.25">
      <c r="A83" s="1" t="s">
        <v>677</v>
      </c>
      <c r="B83" s="1" t="s">
        <v>605</v>
      </c>
      <c r="C83" s="1" t="s">
        <v>14</v>
      </c>
      <c r="D83" s="1" t="s">
        <v>15</v>
      </c>
      <c r="E83" s="1" t="s">
        <v>239</v>
      </c>
    </row>
    <row r="84" spans="1:5" x14ac:dyDescent="0.25">
      <c r="A84" s="1" t="s">
        <v>678</v>
      </c>
      <c r="B84" s="1" t="s">
        <v>235</v>
      </c>
      <c r="C84" s="1" t="s">
        <v>14</v>
      </c>
      <c r="D84" s="1" t="s">
        <v>15</v>
      </c>
      <c r="E84" s="1" t="s">
        <v>239</v>
      </c>
    </row>
    <row r="85" spans="1:5" x14ac:dyDescent="0.25">
      <c r="A85" s="1" t="s">
        <v>679</v>
      </c>
      <c r="B85" s="1" t="s">
        <v>235</v>
      </c>
      <c r="C85" s="1" t="s">
        <v>14</v>
      </c>
      <c r="D85" s="1" t="s">
        <v>15</v>
      </c>
      <c r="E85" s="1" t="s">
        <v>239</v>
      </c>
    </row>
    <row r="86" spans="1:5" x14ac:dyDescent="0.25">
      <c r="A86" s="1" t="s">
        <v>680</v>
      </c>
      <c r="B86" s="1" t="s">
        <v>235</v>
      </c>
      <c r="C86" s="1" t="s">
        <v>14</v>
      </c>
      <c r="D86" s="1" t="s">
        <v>15</v>
      </c>
      <c r="E86" s="1" t="s">
        <v>239</v>
      </c>
    </row>
    <row r="87" spans="1:5" x14ac:dyDescent="0.25">
      <c r="A87" s="1" t="s">
        <v>681</v>
      </c>
      <c r="B87" s="1" t="s">
        <v>190</v>
      </c>
      <c r="C87" s="1" t="s">
        <v>14</v>
      </c>
      <c r="D87" s="1" t="s">
        <v>15</v>
      </c>
      <c r="E87" s="1" t="s">
        <v>239</v>
      </c>
    </row>
    <row r="88" spans="1:5" x14ac:dyDescent="0.25">
      <c r="A88" s="1" t="s">
        <v>684</v>
      </c>
      <c r="B88" s="1" t="s">
        <v>235</v>
      </c>
      <c r="C88" s="1" t="s">
        <v>14</v>
      </c>
      <c r="D88" s="1" t="s">
        <v>15</v>
      </c>
      <c r="E88" s="1" t="s">
        <v>239</v>
      </c>
    </row>
    <row r="89" spans="1:5" x14ac:dyDescent="0.25">
      <c r="A89" s="1" t="s">
        <v>685</v>
      </c>
      <c r="B89" s="1" t="s">
        <v>235</v>
      </c>
      <c r="C89" s="1" t="s">
        <v>14</v>
      </c>
      <c r="D89" s="1" t="s">
        <v>15</v>
      </c>
      <c r="E89" s="1" t="s">
        <v>239</v>
      </c>
    </row>
    <row r="90" spans="1:5" x14ac:dyDescent="0.25">
      <c r="A90" s="1" t="s">
        <v>687</v>
      </c>
      <c r="B90" s="1" t="s">
        <v>235</v>
      </c>
      <c r="C90" s="1" t="s">
        <v>14</v>
      </c>
      <c r="D90" s="1" t="s">
        <v>15</v>
      </c>
      <c r="E90" s="1" t="s">
        <v>239</v>
      </c>
    </row>
    <row r="91" spans="1:5" x14ac:dyDescent="0.25">
      <c r="A91" s="1" t="s">
        <v>688</v>
      </c>
      <c r="B91" s="1" t="s">
        <v>598</v>
      </c>
      <c r="C91" s="1" t="s">
        <v>14</v>
      </c>
      <c r="D91" s="1" t="s">
        <v>15</v>
      </c>
      <c r="E91" s="1" t="s">
        <v>239</v>
      </c>
    </row>
    <row r="92" spans="1:5" x14ac:dyDescent="0.25">
      <c r="A92" s="1" t="s">
        <v>690</v>
      </c>
      <c r="B92" s="1" t="s">
        <v>21</v>
      </c>
      <c r="C92" s="1" t="s">
        <v>14</v>
      </c>
      <c r="D92" s="1" t="s">
        <v>15</v>
      </c>
      <c r="E92" s="1" t="s">
        <v>239</v>
      </c>
    </row>
    <row r="93" spans="1:5" x14ac:dyDescent="0.25">
      <c r="A93" s="1" t="s">
        <v>693</v>
      </c>
      <c r="B93" s="1" t="s">
        <v>579</v>
      </c>
      <c r="C93" s="1" t="s">
        <v>14</v>
      </c>
      <c r="D93" s="1" t="s">
        <v>15</v>
      </c>
      <c r="E93" s="1" t="s">
        <v>239</v>
      </c>
    </row>
    <row r="94" spans="1:5" x14ac:dyDescent="0.25">
      <c r="A94" s="1" t="s">
        <v>699</v>
      </c>
      <c r="B94" s="1" t="s">
        <v>237</v>
      </c>
      <c r="C94" s="1" t="s">
        <v>14</v>
      </c>
      <c r="D94" s="1" t="s">
        <v>15</v>
      </c>
      <c r="E94" s="1" t="s">
        <v>239</v>
      </c>
    </row>
    <row r="95" spans="1:5" x14ac:dyDescent="0.25">
      <c r="A95" s="1" t="s">
        <v>700</v>
      </c>
      <c r="B95" s="1" t="s">
        <v>64</v>
      </c>
      <c r="C95" s="1" t="s">
        <v>14</v>
      </c>
      <c r="D95" s="1" t="s">
        <v>15</v>
      </c>
      <c r="E95" s="1" t="s">
        <v>239</v>
      </c>
    </row>
    <row r="96" spans="1:5" x14ac:dyDescent="0.25">
      <c r="A96" s="1" t="s">
        <v>702</v>
      </c>
      <c r="B96" s="1" t="s">
        <v>237</v>
      </c>
      <c r="C96" s="1" t="s">
        <v>14</v>
      </c>
      <c r="D96" s="1" t="s">
        <v>15</v>
      </c>
      <c r="E96" s="1" t="s">
        <v>239</v>
      </c>
    </row>
    <row r="97" spans="1:5" x14ac:dyDescent="0.25">
      <c r="A97" s="1" t="s">
        <v>704</v>
      </c>
      <c r="B97" s="1" t="s">
        <v>237</v>
      </c>
      <c r="C97" s="1" t="s">
        <v>14</v>
      </c>
      <c r="D97" s="1" t="s">
        <v>15</v>
      </c>
      <c r="E97" s="1" t="s">
        <v>239</v>
      </c>
    </row>
    <row r="98" spans="1:5" x14ac:dyDescent="0.25">
      <c r="A98" s="1" t="s">
        <v>710</v>
      </c>
      <c r="B98" s="1" t="s">
        <v>310</v>
      </c>
      <c r="C98" s="1" t="s">
        <v>14</v>
      </c>
      <c r="D98" s="1" t="s">
        <v>15</v>
      </c>
      <c r="E98" s="1" t="s">
        <v>239</v>
      </c>
    </row>
    <row r="99" spans="1:5" x14ac:dyDescent="0.25">
      <c r="A99" s="1" t="s">
        <v>713</v>
      </c>
      <c r="B99" s="1" t="s">
        <v>237</v>
      </c>
      <c r="C99" s="1" t="s">
        <v>14</v>
      </c>
      <c r="D99" s="1" t="s">
        <v>15</v>
      </c>
      <c r="E99" s="1" t="s">
        <v>239</v>
      </c>
    </row>
    <row r="100" spans="1:5" x14ac:dyDescent="0.25">
      <c r="A100" s="1" t="s">
        <v>718</v>
      </c>
      <c r="B100" s="1" t="s">
        <v>235</v>
      </c>
      <c r="C100" s="1" t="s">
        <v>14</v>
      </c>
      <c r="D100" s="1" t="s">
        <v>15</v>
      </c>
      <c r="E100" s="1" t="s">
        <v>239</v>
      </c>
    </row>
    <row r="101" spans="1:5" x14ac:dyDescent="0.25">
      <c r="A101" s="1" t="s">
        <v>722</v>
      </c>
      <c r="B101" s="1" t="s">
        <v>235</v>
      </c>
      <c r="C101" s="1" t="s">
        <v>14</v>
      </c>
      <c r="D101" s="1" t="s">
        <v>15</v>
      </c>
      <c r="E101" s="1" t="s">
        <v>239</v>
      </c>
    </row>
    <row r="102" spans="1:5" x14ac:dyDescent="0.25">
      <c r="A102" s="1" t="s">
        <v>724</v>
      </c>
      <c r="B102" s="1" t="s">
        <v>165</v>
      </c>
      <c r="C102" s="1" t="s">
        <v>14</v>
      </c>
      <c r="D102" s="1" t="s">
        <v>15</v>
      </c>
      <c r="E102" s="1" t="s">
        <v>239</v>
      </c>
    </row>
    <row r="103" spans="1:5" x14ac:dyDescent="0.25">
      <c r="A103" s="1" t="s">
        <v>725</v>
      </c>
      <c r="B103" s="1" t="s">
        <v>235</v>
      </c>
      <c r="C103" s="1" t="s">
        <v>14</v>
      </c>
      <c r="D103" s="1" t="s">
        <v>15</v>
      </c>
      <c r="E103" s="1" t="s">
        <v>239</v>
      </c>
    </row>
    <row r="104" spans="1:5" x14ac:dyDescent="0.25">
      <c r="A104" s="1" t="s">
        <v>730</v>
      </c>
      <c r="B104" s="1" t="s">
        <v>21</v>
      </c>
      <c r="C104" s="1" t="s">
        <v>14</v>
      </c>
      <c r="D104" s="1" t="s">
        <v>15</v>
      </c>
      <c r="E104" s="1" t="s">
        <v>239</v>
      </c>
    </row>
    <row r="105" spans="1:5" x14ac:dyDescent="0.25">
      <c r="A105" s="1" t="s">
        <v>731</v>
      </c>
      <c r="B105" s="1" t="s">
        <v>167</v>
      </c>
      <c r="C105" s="1" t="s">
        <v>14</v>
      </c>
      <c r="D105" s="1" t="s">
        <v>15</v>
      </c>
      <c r="E105" s="1" t="s">
        <v>239</v>
      </c>
    </row>
    <row r="106" spans="1:5" x14ac:dyDescent="0.25">
      <c r="A106" s="1" t="s">
        <v>733</v>
      </c>
      <c r="B106" s="1" t="s">
        <v>64</v>
      </c>
      <c r="C106" s="1" t="s">
        <v>14</v>
      </c>
      <c r="D106" s="1" t="s">
        <v>15</v>
      </c>
      <c r="E106" s="1" t="s">
        <v>239</v>
      </c>
    </row>
    <row r="107" spans="1:5" x14ac:dyDescent="0.25">
      <c r="A107" s="1" t="s">
        <v>736</v>
      </c>
      <c r="B107" s="1" t="s">
        <v>237</v>
      </c>
      <c r="C107" s="1" t="s">
        <v>14</v>
      </c>
      <c r="D107" s="1" t="s">
        <v>15</v>
      </c>
      <c r="E107" s="1" t="s">
        <v>239</v>
      </c>
    </row>
    <row r="108" spans="1:5" x14ac:dyDescent="0.25">
      <c r="A108" s="1" t="s">
        <v>743</v>
      </c>
      <c r="B108" s="1" t="s">
        <v>19</v>
      </c>
      <c r="C108" s="1" t="s">
        <v>14</v>
      </c>
      <c r="D108" s="1" t="s">
        <v>15</v>
      </c>
      <c r="E108" s="1" t="s">
        <v>239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06D25-CBD6-43F8-B4DB-2717E84C6FCB}">
  <dimension ref="A1:G14"/>
  <sheetViews>
    <sheetView showGridLines="0" workbookViewId="0">
      <selection activeCell="N17" sqref="N17"/>
    </sheetView>
  </sheetViews>
  <sheetFormatPr baseColWidth="10" defaultRowHeight="15" x14ac:dyDescent="0.25"/>
  <cols>
    <col min="3" max="3" width="17" customWidth="1"/>
    <col min="5" max="5" width="13.85546875" customWidth="1"/>
  </cols>
  <sheetData>
    <row r="1" spans="1:7" x14ac:dyDescent="0.25">
      <c r="A1" s="1" t="s">
        <v>0</v>
      </c>
      <c r="B1" s="1" t="s">
        <v>3</v>
      </c>
      <c r="C1" s="1" t="s">
        <v>5</v>
      </c>
      <c r="D1" s="1" t="s">
        <v>6</v>
      </c>
      <c r="E1" s="1" t="s">
        <v>7</v>
      </c>
      <c r="F1" s="1" t="s">
        <v>2</v>
      </c>
      <c r="G1" s="1" t="s">
        <v>4</v>
      </c>
    </row>
    <row r="2" spans="1:7" x14ac:dyDescent="0.25">
      <c r="A2" s="1" t="s">
        <v>128</v>
      </c>
      <c r="B2" s="1" t="s">
        <v>794</v>
      </c>
      <c r="C2" s="1" t="s">
        <v>19</v>
      </c>
      <c r="D2" s="1" t="s">
        <v>14</v>
      </c>
      <c r="E2" s="1" t="s">
        <v>15</v>
      </c>
      <c r="F2" s="1" t="s">
        <v>303</v>
      </c>
      <c r="G2" s="1" t="s">
        <v>301</v>
      </c>
    </row>
    <row r="3" spans="1:7" x14ac:dyDescent="0.25">
      <c r="A3" s="1" t="s">
        <v>87</v>
      </c>
      <c r="B3" s="1" t="s">
        <v>794</v>
      </c>
      <c r="C3" s="1" t="s">
        <v>307</v>
      </c>
      <c r="D3" s="1" t="s">
        <v>14</v>
      </c>
      <c r="E3" s="1" t="s">
        <v>15</v>
      </c>
      <c r="F3" s="1" t="s">
        <v>303</v>
      </c>
      <c r="G3" s="1" t="s">
        <v>301</v>
      </c>
    </row>
    <row r="4" spans="1:7" x14ac:dyDescent="0.25">
      <c r="A4" s="1" t="s">
        <v>97</v>
      </c>
      <c r="B4" s="1" t="s">
        <v>794</v>
      </c>
      <c r="C4" s="1" t="s">
        <v>308</v>
      </c>
      <c r="D4" s="1" t="s">
        <v>14</v>
      </c>
      <c r="E4" s="1" t="s">
        <v>15</v>
      </c>
      <c r="F4" s="1" t="s">
        <v>303</v>
      </c>
      <c r="G4" s="1" t="s">
        <v>301</v>
      </c>
    </row>
    <row r="5" spans="1:7" x14ac:dyDescent="0.25">
      <c r="A5" s="1" t="s">
        <v>93</v>
      </c>
      <c r="B5" s="1" t="s">
        <v>794</v>
      </c>
      <c r="C5" s="1" t="s">
        <v>19</v>
      </c>
      <c r="D5" s="1" t="s">
        <v>14</v>
      </c>
      <c r="E5" s="1" t="s">
        <v>15</v>
      </c>
      <c r="F5" s="1" t="s">
        <v>303</v>
      </c>
      <c r="G5" s="1" t="s">
        <v>301</v>
      </c>
    </row>
    <row r="6" spans="1:7" x14ac:dyDescent="0.25">
      <c r="A6" s="1" t="s">
        <v>130</v>
      </c>
      <c r="B6" s="1" t="s">
        <v>794</v>
      </c>
      <c r="C6" s="1" t="s">
        <v>13</v>
      </c>
      <c r="D6" s="1" t="s">
        <v>14</v>
      </c>
      <c r="E6" s="1" t="s">
        <v>15</v>
      </c>
      <c r="F6" s="1" t="s">
        <v>303</v>
      </c>
      <c r="G6" s="1" t="s">
        <v>301</v>
      </c>
    </row>
    <row r="7" spans="1:7" x14ac:dyDescent="0.25">
      <c r="A7" s="1" t="s">
        <v>143</v>
      </c>
      <c r="B7" s="1" t="s">
        <v>794</v>
      </c>
      <c r="C7" s="1" t="s">
        <v>237</v>
      </c>
      <c r="D7" s="1" t="s">
        <v>14</v>
      </c>
      <c r="E7" s="1" t="s">
        <v>15</v>
      </c>
      <c r="F7" s="1" t="s">
        <v>303</v>
      </c>
      <c r="G7" s="1" t="s">
        <v>301</v>
      </c>
    </row>
    <row r="8" spans="1:7" x14ac:dyDescent="0.25">
      <c r="A8" s="1" t="s">
        <v>150</v>
      </c>
      <c r="B8" s="1" t="s">
        <v>794</v>
      </c>
      <c r="C8" s="1" t="s">
        <v>13</v>
      </c>
      <c r="D8" s="1" t="s">
        <v>14</v>
      </c>
      <c r="E8" s="1" t="s">
        <v>15</v>
      </c>
      <c r="F8" s="1" t="s">
        <v>303</v>
      </c>
      <c r="G8" s="1" t="s">
        <v>301</v>
      </c>
    </row>
    <row r="9" spans="1:7" x14ac:dyDescent="0.25">
      <c r="A9" s="1" t="s">
        <v>133</v>
      </c>
      <c r="B9" s="1" t="s">
        <v>794</v>
      </c>
      <c r="C9" s="1" t="s">
        <v>611</v>
      </c>
      <c r="D9" s="1" t="s">
        <v>14</v>
      </c>
      <c r="E9" s="1" t="s">
        <v>15</v>
      </c>
      <c r="F9" s="1" t="s">
        <v>303</v>
      </c>
      <c r="G9" s="1" t="s">
        <v>301</v>
      </c>
    </row>
    <row r="10" spans="1:7" x14ac:dyDescent="0.25">
      <c r="A10" s="1" t="s">
        <v>140</v>
      </c>
      <c r="B10" s="1" t="s">
        <v>794</v>
      </c>
      <c r="C10" s="1" t="s">
        <v>592</v>
      </c>
      <c r="D10" s="1" t="s">
        <v>14</v>
      </c>
      <c r="E10" s="1" t="s">
        <v>15</v>
      </c>
      <c r="F10" s="1" t="s">
        <v>303</v>
      </c>
      <c r="G10" s="1" t="s">
        <v>301</v>
      </c>
    </row>
    <row r="11" spans="1:7" x14ac:dyDescent="0.25">
      <c r="A11" s="1" t="s">
        <v>101</v>
      </c>
      <c r="B11" s="1" t="s">
        <v>794</v>
      </c>
      <c r="C11" s="1" t="s">
        <v>163</v>
      </c>
      <c r="D11" s="1" t="s">
        <v>14</v>
      </c>
      <c r="E11" s="1" t="s">
        <v>15</v>
      </c>
      <c r="F11" s="1" t="s">
        <v>303</v>
      </c>
      <c r="G11" s="1" t="s">
        <v>301</v>
      </c>
    </row>
    <row r="12" spans="1:7" x14ac:dyDescent="0.25">
      <c r="A12" s="1" t="s">
        <v>103</v>
      </c>
      <c r="B12" s="1" t="s">
        <v>794</v>
      </c>
      <c r="C12" s="1" t="s">
        <v>171</v>
      </c>
      <c r="D12" s="1" t="s">
        <v>14</v>
      </c>
      <c r="E12" s="1" t="s">
        <v>15</v>
      </c>
      <c r="F12" s="1" t="s">
        <v>303</v>
      </c>
      <c r="G12" s="1" t="s">
        <v>301</v>
      </c>
    </row>
    <row r="13" spans="1:7" x14ac:dyDescent="0.25">
      <c r="A13" s="1" t="s">
        <v>753</v>
      </c>
      <c r="B13" s="1" t="s">
        <v>794</v>
      </c>
      <c r="C13" s="1" t="s">
        <v>605</v>
      </c>
      <c r="D13" s="1" t="s">
        <v>14</v>
      </c>
      <c r="E13" s="1" t="s">
        <v>15</v>
      </c>
      <c r="F13" s="1" t="s">
        <v>303</v>
      </c>
      <c r="G13" s="1" t="s">
        <v>301</v>
      </c>
    </row>
    <row r="14" spans="1:7" x14ac:dyDescent="0.25">
      <c r="A14" s="1" t="s">
        <v>138</v>
      </c>
      <c r="B14" s="1" t="s">
        <v>794</v>
      </c>
      <c r="C14" s="1" t="s">
        <v>64</v>
      </c>
      <c r="D14" s="1" t="s">
        <v>14</v>
      </c>
      <c r="E14" s="1" t="s">
        <v>15</v>
      </c>
      <c r="F14" s="1" t="s">
        <v>303</v>
      </c>
      <c r="G14" s="1" t="s">
        <v>301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16</vt:i4>
      </vt:variant>
    </vt:vector>
  </HeadingPairs>
  <TitlesOfParts>
    <vt:vector size="16" baseType="lpstr">
      <vt:lpstr>API Connection</vt:lpstr>
      <vt:lpstr>Advisor</vt:lpstr>
      <vt:lpstr>SQL database</vt:lpstr>
      <vt:lpstr>Data factory</vt:lpstr>
      <vt:lpstr>Disco</vt:lpstr>
      <vt:lpstr>CDN</vt:lpstr>
      <vt:lpstr>IP publicas</vt:lpstr>
      <vt:lpstr>Todos los recursos</vt:lpstr>
      <vt:lpstr>Analysis Services</vt:lpstr>
      <vt:lpstr>Mysql</vt:lpstr>
      <vt:lpstr>Function</vt:lpstr>
      <vt:lpstr>App Service</vt:lpstr>
      <vt:lpstr>Detalle</vt:lpstr>
      <vt:lpstr>VMs</vt:lpstr>
      <vt:lpstr>Application Insights</vt:lpstr>
      <vt:lpstr>SQL server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DiegoBR</dc:creator>
  <cp:lastModifiedBy>DiegoBR</cp:lastModifiedBy>
  <dcterms:created xsi:type="dcterms:W3CDTF">2022-07-29T02:31:27Z</dcterms:created>
  <dcterms:modified xsi:type="dcterms:W3CDTF">2022-07-29T04:21:00Z</dcterms:modified>
</cp:coreProperties>
</file>