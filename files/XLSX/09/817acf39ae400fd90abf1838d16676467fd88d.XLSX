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Servicio Administrado reporte/SNMPE/PDF/"/>
    </mc:Choice>
  </mc:AlternateContent>
  <xr:revisionPtr revIDLastSave="105" documentId="13_ncr:1_{A35B4A08-6AA2-401E-926D-4283B1EE1A55}" xr6:coauthVersionLast="47" xr6:coauthVersionMax="47" xr10:uidLastSave="{08556670-950A-4F61-A287-AAA9D314ECE7}"/>
  <bookViews>
    <workbookView xWindow="-120" yWindow="-120" windowWidth="24240" windowHeight="13140" activeTab="1" xr2:uid="{39B53FB8-4721-4DD4-8410-52FE34C9C9B8}"/>
  </bookViews>
  <sheets>
    <sheet name="Inventario Inicial" sheetId="1" r:id="rId1"/>
    <sheet name="Optimización" sheetId="2" r:id="rId2"/>
    <sheet name="Backup" sheetId="4" r:id="rId3"/>
    <sheet name="Advisor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5" i="2" l="1"/>
  <c r="L15" i="2"/>
  <c r="M16" i="2" s="1"/>
  <c r="M17" i="2" s="1"/>
  <c r="J15" i="2"/>
  <c r="I15" i="2"/>
  <c r="M21" i="2"/>
  <c r="M22" i="2" s="1"/>
  <c r="L21" i="2"/>
  <c r="L22" i="2" s="1"/>
  <c r="J21" i="2"/>
  <c r="J22" i="2" s="1"/>
  <c r="I21" i="2"/>
  <c r="I22" i="2" s="1"/>
  <c r="J16" i="2" l="1"/>
  <c r="J17" i="2" s="1"/>
  <c r="J23" i="2"/>
  <c r="M23" i="2"/>
</calcChain>
</file>

<file path=xl/sharedStrings.xml><?xml version="1.0" encoding="utf-8"?>
<sst xmlns="http://schemas.openxmlformats.org/spreadsheetml/2006/main" count="87" uniqueCount="51">
  <si>
    <t>NAME</t>
  </si>
  <si>
    <t>SUBSCRIPTION</t>
  </si>
  <si>
    <t>RESOURCE GROUP</t>
  </si>
  <si>
    <t>LOCATION</t>
  </si>
  <si>
    <t>STATUS</t>
  </si>
  <si>
    <t>OPERATING SYSTEM</t>
  </si>
  <si>
    <t>SIZE</t>
  </si>
  <si>
    <t>PUBLIC IP ADDRESS</t>
  </si>
  <si>
    <t>PRIVATE IP ADDRESS</t>
  </si>
  <si>
    <t>DISKS</t>
  </si>
  <si>
    <t>SNMPESRV02</t>
  </si>
  <si>
    <t>SNMPESRVAD01</t>
  </si>
  <si>
    <t>SNMPESRVAP01</t>
  </si>
  <si>
    <t>SNMPESRVFS01</t>
  </si>
  <si>
    <t>SNMPESRVWB01</t>
  </si>
  <si>
    <t>Azure subscription SNMPE</t>
  </si>
  <si>
    <t>RG-SNMPE</t>
  </si>
  <si>
    <t>East US 2</t>
  </si>
  <si>
    <t>Running</t>
  </si>
  <si>
    <t>Windows (Windows Server 2008 R2 Standard)</t>
  </si>
  <si>
    <t>Windows (Windows Server 2012 R2 Datacenter)</t>
  </si>
  <si>
    <t>Windows (Windows Server 2019 Datacenter)</t>
  </si>
  <si>
    <t>Standard D4as v4 (4 vcpus, 16 GiB memory)</t>
  </si>
  <si>
    <t>Standard B2s (2 vcpus, 4 GiB memory)</t>
  </si>
  <si>
    <t>Standard B2ms (2 vcpus, 8 GiB memory)</t>
  </si>
  <si>
    <t>Standard B4ms (4 vcpus, 16 GiB memory)</t>
  </si>
  <si>
    <t>20.65.126.66</t>
  </si>
  <si>
    <t>172.100.10.7</t>
  </si>
  <si>
    <t>172.100.10.4</t>
  </si>
  <si>
    <t>172.100.10.6</t>
  </si>
  <si>
    <t>172.100.10.5</t>
  </si>
  <si>
    <t>172.100.12.4</t>
  </si>
  <si>
    <t>Standard D4as v4 (4 vcpus, 16 GiB memory, IOPS 6400)</t>
  </si>
  <si>
    <t>Standard B2s (2 vcpus, 4 GiB memory, IOPS 1280)</t>
  </si>
  <si>
    <t>Standard B2ms (2 vcpus, 8 GiB memory, IOPS 1920)</t>
  </si>
  <si>
    <t>Standard B2ms (2 vcpus, 8 GiB memory, IOPS 1280)</t>
  </si>
  <si>
    <t>Standard B4ms (4 vcpus, 16 GiB memory, IOPS 2880)</t>
  </si>
  <si>
    <t>SQL</t>
  </si>
  <si>
    <t>SQL2008-Standard</t>
  </si>
  <si>
    <t>AVG</t>
  </si>
  <si>
    <t>MAX</t>
  </si>
  <si>
    <t>Actual</t>
  </si>
  <si>
    <t>Anual</t>
  </si>
  <si>
    <t>Ahorro</t>
  </si>
  <si>
    <t>Servidores</t>
  </si>
  <si>
    <t>Plantilla</t>
  </si>
  <si>
    <t>PVP</t>
  </si>
  <si>
    <t xml:space="preserve">Plantillas propuestas </t>
  </si>
  <si>
    <t xml:space="preserve">Bajar las políticas de retención de backup a 7 dias </t>
  </si>
  <si>
    <t>PVP Instancias reservada Aporx</t>
  </si>
  <si>
    <t>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</si>
</sst>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10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4" fontId="5" fillId="0" borderId="1" xfId="0" applyNumberFormat="1" applyFont="1" applyFill="1" applyBorder="1"/>
    <xf numFmtId="2" fontId="5" fillId="0" borderId="1" xfId="0" applyNumberFormat="1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44" fontId="5" fillId="0" borderId="0" xfId="0" applyNumberFormat="1" applyFont="1" applyFill="1" applyBorder="1"/>
    <xf numFmtId="44" fontId="5" fillId="0" borderId="0" xfId="1" applyNumberFormat="1" applyFont="1" applyFill="1" applyBorder="1"/>
    <xf numFmtId="9" fontId="5" fillId="3" borderId="0" xfId="1" applyFont="1" applyFill="1" applyBorder="1"/>
    <xf numFmtId="0" fontId="6" fillId="3" borderId="0" xfId="0" applyFont="1" applyFill="1"/>
    <xf numFmtId="44" fontId="5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9" fontId="5" fillId="0" borderId="0" xfId="1" applyFont="1" applyFill="1" applyBorder="1"/>
    <xf numFmtId="0" fontId="0" fillId="3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838200</xdr:colOff>
      <xdr:row>5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BFD98E-05D5-427C-A584-AFA2E620E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8100"/>
          <a:ext cx="2114550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2</xdr:col>
      <xdr:colOff>771525</xdr:colOff>
      <xdr:row>7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EDA21C-34A0-4C5B-89E1-83238B7F0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2114550" cy="1019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180975</xdr:rowOff>
    </xdr:from>
    <xdr:to>
      <xdr:col>6</xdr:col>
      <xdr:colOff>18506</xdr:colOff>
      <xdr:row>17</xdr:row>
      <xdr:rowOff>85356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52A24C-EABE-4084-B741-418DCB37A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371475"/>
          <a:ext cx="4352381" cy="29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793A-03F6-4F90-A3AF-801BF74E9021}">
  <dimension ref="B8:K13"/>
  <sheetViews>
    <sheetView showGridLines="0" workbookViewId="0">
      <selection activeCell="D22" sqref="D22"/>
    </sheetView>
  </sheetViews>
  <sheetFormatPr baseColWidth="10" defaultRowHeight="15" x14ac:dyDescent="0.25"/>
  <cols>
    <col min="1" max="1" width="4" customWidth="1"/>
    <col min="2" max="2" width="15.7109375" bestFit="1" customWidth="1"/>
    <col min="3" max="3" width="24.42578125" bestFit="1" customWidth="1"/>
    <col min="4" max="4" width="17.42578125" style="4" bestFit="1" customWidth="1"/>
    <col min="5" max="5" width="10.140625" bestFit="1" customWidth="1"/>
    <col min="6" max="6" width="8.28515625" bestFit="1" customWidth="1"/>
    <col min="7" max="7" width="43.5703125" bestFit="1" customWidth="1"/>
    <col min="8" max="8" width="38.140625" customWidth="1"/>
    <col min="9" max="9" width="18" style="4" bestFit="1" customWidth="1"/>
    <col min="10" max="10" width="19.140625" style="4" bestFit="1" customWidth="1"/>
    <col min="11" max="11" width="6" style="4" bestFit="1" customWidth="1"/>
  </cols>
  <sheetData>
    <row r="8" spans="2:11" x14ac:dyDescent="0.25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1" t="s">
        <v>8</v>
      </c>
      <c r="K8" s="1" t="s">
        <v>9</v>
      </c>
    </row>
    <row r="9" spans="2:11" x14ac:dyDescent="0.25">
      <c r="B9" s="2" t="s">
        <v>10</v>
      </c>
      <c r="C9" s="2" t="s">
        <v>15</v>
      </c>
      <c r="D9" s="3" t="s">
        <v>16</v>
      </c>
      <c r="E9" s="2" t="s">
        <v>17</v>
      </c>
      <c r="F9" s="2" t="s">
        <v>18</v>
      </c>
      <c r="G9" s="2" t="s">
        <v>19</v>
      </c>
      <c r="H9" s="2" t="s">
        <v>22</v>
      </c>
      <c r="I9" s="3"/>
      <c r="J9" s="3" t="s">
        <v>27</v>
      </c>
      <c r="K9" s="3">
        <v>5</v>
      </c>
    </row>
    <row r="10" spans="2:11" x14ac:dyDescent="0.25">
      <c r="B10" s="2" t="s">
        <v>11</v>
      </c>
      <c r="C10" s="2" t="s">
        <v>15</v>
      </c>
      <c r="D10" s="3" t="s">
        <v>16</v>
      </c>
      <c r="E10" s="2" t="s">
        <v>17</v>
      </c>
      <c r="F10" s="2" t="s">
        <v>18</v>
      </c>
      <c r="G10" s="2" t="s">
        <v>20</v>
      </c>
      <c r="H10" s="2" t="s">
        <v>23</v>
      </c>
      <c r="I10" s="3"/>
      <c r="J10" s="3" t="s">
        <v>28</v>
      </c>
      <c r="K10" s="3">
        <v>1</v>
      </c>
    </row>
    <row r="11" spans="2:11" x14ac:dyDescent="0.25">
      <c r="B11" s="2" t="s">
        <v>12</v>
      </c>
      <c r="C11" s="2" t="s">
        <v>15</v>
      </c>
      <c r="D11" s="3" t="s">
        <v>16</v>
      </c>
      <c r="E11" s="2" t="s">
        <v>17</v>
      </c>
      <c r="F11" s="2" t="s">
        <v>18</v>
      </c>
      <c r="G11" s="2" t="s">
        <v>21</v>
      </c>
      <c r="H11" s="2" t="s">
        <v>24</v>
      </c>
      <c r="I11" s="3"/>
      <c r="J11" s="3" t="s">
        <v>29</v>
      </c>
      <c r="K11" s="3">
        <v>2</v>
      </c>
    </row>
    <row r="12" spans="2:11" x14ac:dyDescent="0.25">
      <c r="B12" s="2" t="s">
        <v>13</v>
      </c>
      <c r="C12" s="2" t="s">
        <v>15</v>
      </c>
      <c r="D12" s="3" t="s">
        <v>16</v>
      </c>
      <c r="E12" s="2" t="s">
        <v>17</v>
      </c>
      <c r="F12" s="2" t="s">
        <v>18</v>
      </c>
      <c r="G12" s="2" t="s">
        <v>21</v>
      </c>
      <c r="H12" s="2" t="s">
        <v>24</v>
      </c>
      <c r="I12" s="3"/>
      <c r="J12" s="3" t="s">
        <v>30</v>
      </c>
      <c r="K12" s="3">
        <v>2</v>
      </c>
    </row>
    <row r="13" spans="2:11" x14ac:dyDescent="0.25">
      <c r="B13" s="2" t="s">
        <v>14</v>
      </c>
      <c r="C13" s="2" t="s">
        <v>15</v>
      </c>
      <c r="D13" s="3" t="s">
        <v>16</v>
      </c>
      <c r="E13" s="2" t="s">
        <v>17</v>
      </c>
      <c r="F13" s="2" t="s">
        <v>18</v>
      </c>
      <c r="G13" s="2" t="s">
        <v>21</v>
      </c>
      <c r="H13" s="2" t="s">
        <v>25</v>
      </c>
      <c r="I13" s="3" t="s">
        <v>26</v>
      </c>
      <c r="J13" s="3" t="s">
        <v>31</v>
      </c>
      <c r="K13" s="3">
        <v>2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FEB0-6B1D-4201-9772-994D84B74631}">
  <dimension ref="B8:M23"/>
  <sheetViews>
    <sheetView showGridLines="0" tabSelected="1" workbookViewId="0">
      <selection activeCell="C29" sqref="C29"/>
    </sheetView>
  </sheetViews>
  <sheetFormatPr baseColWidth="10" defaultRowHeight="11.25" x14ac:dyDescent="0.2"/>
  <cols>
    <col min="1" max="1" width="4.85546875" style="5" customWidth="1"/>
    <col min="2" max="2" width="15.7109375" style="5" customWidth="1"/>
    <col min="3" max="3" width="47.85546875" style="5" customWidth="1"/>
    <col min="4" max="4" width="17" style="5" customWidth="1"/>
    <col min="5" max="5" width="7.5703125" style="5" customWidth="1"/>
    <col min="6" max="6" width="7.42578125" style="5" customWidth="1"/>
    <col min="7" max="7" width="8.7109375" style="5" customWidth="1"/>
    <col min="8" max="8" width="9.140625" style="5" customWidth="1"/>
    <col min="9" max="9" width="12.7109375" style="5" customWidth="1"/>
    <col min="10" max="10" width="20.7109375" style="5" customWidth="1"/>
    <col min="11" max="11" width="34.140625" style="5" customWidth="1"/>
    <col min="12" max="12" width="8.42578125" style="5" bestFit="1" customWidth="1"/>
    <col min="13" max="13" width="22.85546875" style="5" customWidth="1"/>
    <col min="14" max="16384" width="11.42578125" style="5"/>
  </cols>
  <sheetData>
    <row r="8" spans="2:13" x14ac:dyDescent="0.2">
      <c r="I8" s="5" t="s">
        <v>50</v>
      </c>
      <c r="J8" s="5" t="s">
        <v>50</v>
      </c>
      <c r="L8" s="5" t="s">
        <v>50</v>
      </c>
      <c r="M8" s="5" t="s">
        <v>50</v>
      </c>
    </row>
    <row r="9" spans="2:13" s="20" customFormat="1" x14ac:dyDescent="0.2">
      <c r="B9" s="19" t="s">
        <v>44</v>
      </c>
      <c r="C9" s="19" t="s">
        <v>45</v>
      </c>
      <c r="D9" s="19" t="s">
        <v>37</v>
      </c>
      <c r="E9" s="6" t="s">
        <v>39</v>
      </c>
      <c r="F9" s="6" t="s">
        <v>40</v>
      </c>
      <c r="G9" s="6" t="s">
        <v>39</v>
      </c>
      <c r="H9" s="6" t="s">
        <v>40</v>
      </c>
      <c r="I9" s="19" t="s">
        <v>46</v>
      </c>
      <c r="J9" s="6" t="s">
        <v>49</v>
      </c>
      <c r="K9" s="6" t="s">
        <v>47</v>
      </c>
      <c r="L9" s="19" t="s">
        <v>46</v>
      </c>
      <c r="M9" s="6" t="s">
        <v>49</v>
      </c>
    </row>
    <row r="10" spans="2:13" x14ac:dyDescent="0.2">
      <c r="B10" s="7" t="s">
        <v>10</v>
      </c>
      <c r="C10" s="7" t="s">
        <v>32</v>
      </c>
      <c r="D10" s="7" t="s">
        <v>38</v>
      </c>
      <c r="E10" s="8">
        <v>1.29E-2</v>
      </c>
      <c r="F10" s="8">
        <v>0.89229999999999998</v>
      </c>
      <c r="G10" s="9">
        <v>0.13</v>
      </c>
      <c r="H10" s="9">
        <v>0.19</v>
      </c>
      <c r="I10" s="10">
        <v>297.51</v>
      </c>
      <c r="J10" s="10">
        <v>250.55</v>
      </c>
      <c r="K10" s="7"/>
      <c r="L10" s="10">
        <v>297.51</v>
      </c>
      <c r="M10" s="10">
        <v>250.55</v>
      </c>
    </row>
    <row r="11" spans="2:13" x14ac:dyDescent="0.2">
      <c r="B11" s="7" t="s">
        <v>11</v>
      </c>
      <c r="C11" s="7" t="s">
        <v>33</v>
      </c>
      <c r="D11" s="7"/>
      <c r="E11" s="8">
        <v>7.7999999999999996E-3</v>
      </c>
      <c r="F11" s="8">
        <v>0.21940000000000001</v>
      </c>
      <c r="G11" s="8">
        <v>2.5999999999999999E-2</v>
      </c>
      <c r="H11" s="8">
        <v>2.7E-2</v>
      </c>
      <c r="I11" s="10">
        <v>39.299999999999997</v>
      </c>
      <c r="J11" s="10">
        <v>27.18</v>
      </c>
      <c r="K11" s="7"/>
      <c r="L11" s="10">
        <v>39.299999999999997</v>
      </c>
      <c r="M11" s="10">
        <v>27.18</v>
      </c>
    </row>
    <row r="12" spans="2:13" x14ac:dyDescent="0.2">
      <c r="B12" s="7" t="s">
        <v>12</v>
      </c>
      <c r="C12" s="7" t="s">
        <v>34</v>
      </c>
      <c r="D12" s="7"/>
      <c r="E12" s="8">
        <v>1.14E-2</v>
      </c>
      <c r="F12" s="8">
        <v>0.8377</v>
      </c>
      <c r="G12" s="8">
        <v>0.24010000000000001</v>
      </c>
      <c r="H12" s="8">
        <v>0.55189999999999995</v>
      </c>
      <c r="I12" s="10">
        <v>72.260000000000005</v>
      </c>
      <c r="J12" s="10">
        <v>47.69</v>
      </c>
      <c r="K12" s="7"/>
      <c r="L12" s="10">
        <v>72.260000000000005</v>
      </c>
      <c r="M12" s="10">
        <v>47.69</v>
      </c>
    </row>
    <row r="13" spans="2:13" x14ac:dyDescent="0.2">
      <c r="B13" s="7" t="s">
        <v>13</v>
      </c>
      <c r="C13" s="7" t="s">
        <v>35</v>
      </c>
      <c r="D13" s="7"/>
      <c r="E13" s="8">
        <v>1.5900000000000001E-2</v>
      </c>
      <c r="F13" s="11">
        <v>0.876</v>
      </c>
      <c r="G13" s="8">
        <v>0.214</v>
      </c>
      <c r="H13" s="9">
        <v>0.44</v>
      </c>
      <c r="I13" s="10">
        <v>72.260000000000005</v>
      </c>
      <c r="J13" s="10">
        <v>47.69</v>
      </c>
      <c r="K13" s="7"/>
      <c r="L13" s="10">
        <v>72.260000000000005</v>
      </c>
      <c r="M13" s="10">
        <v>47.69</v>
      </c>
    </row>
    <row r="14" spans="2:13" x14ac:dyDescent="0.2">
      <c r="B14" s="7" t="s">
        <v>14</v>
      </c>
      <c r="C14" s="7" t="s">
        <v>36</v>
      </c>
      <c r="D14" s="7"/>
      <c r="E14" s="8">
        <v>5.3E-3</v>
      </c>
      <c r="F14" s="8">
        <v>0.53839999999999999</v>
      </c>
      <c r="G14" s="8">
        <v>0.13800000000000001</v>
      </c>
      <c r="H14" s="8">
        <v>0.13900000000000001</v>
      </c>
      <c r="I14" s="10">
        <v>144.19999999999999</v>
      </c>
      <c r="J14" s="10">
        <v>92.23</v>
      </c>
      <c r="K14" s="7" t="s">
        <v>35</v>
      </c>
      <c r="L14" s="10">
        <v>72.260000000000005</v>
      </c>
      <c r="M14" s="10">
        <v>47.69</v>
      </c>
    </row>
    <row r="15" spans="2:13" x14ac:dyDescent="0.2">
      <c r="B15" s="12"/>
      <c r="C15" s="12"/>
      <c r="D15" s="12"/>
      <c r="E15" s="13"/>
      <c r="F15" s="13"/>
      <c r="G15" s="13"/>
      <c r="H15" s="13"/>
      <c r="I15" s="14">
        <f>SUM(I10:I14)</f>
        <v>625.53</v>
      </c>
      <c r="J15" s="14">
        <f>SUM(J10:J14)</f>
        <v>465.34000000000003</v>
      </c>
      <c r="K15" s="12"/>
      <c r="L15" s="14">
        <f>SUM(L10:L14)</f>
        <v>553.59</v>
      </c>
      <c r="M15" s="14">
        <f>SUM(M10:M14)</f>
        <v>420.8</v>
      </c>
    </row>
    <row r="16" spans="2:13" x14ac:dyDescent="0.2">
      <c r="B16" s="12"/>
      <c r="C16" s="12"/>
      <c r="D16" s="12"/>
      <c r="E16" s="13"/>
      <c r="F16" s="13"/>
      <c r="G16" s="13"/>
      <c r="H16" s="13"/>
      <c r="I16" s="14"/>
      <c r="J16" s="15">
        <f>+I15-J15</f>
        <v>160.18999999999994</v>
      </c>
      <c r="K16" s="12"/>
      <c r="L16" s="14"/>
      <c r="M16" s="14">
        <f>+L15-M15</f>
        <v>132.79000000000002</v>
      </c>
    </row>
    <row r="17" spans="2:13" x14ac:dyDescent="0.2">
      <c r="B17" s="12"/>
      <c r="C17" s="12"/>
      <c r="D17" s="12"/>
      <c r="E17" s="13"/>
      <c r="F17" s="13"/>
      <c r="G17" s="13"/>
      <c r="H17" s="13"/>
      <c r="I17" s="14"/>
      <c r="J17" s="16">
        <f>+J16/I15</f>
        <v>0.25608683836106971</v>
      </c>
      <c r="K17" s="12" t="s">
        <v>43</v>
      </c>
      <c r="L17" s="14"/>
      <c r="M17" s="16">
        <f>+M16/L15</f>
        <v>0.2398706624035839</v>
      </c>
    </row>
    <row r="18" spans="2:13" x14ac:dyDescent="0.2">
      <c r="B18" s="12"/>
      <c r="C18" s="12"/>
      <c r="D18" s="12"/>
      <c r="E18" s="13"/>
      <c r="F18" s="13"/>
      <c r="G18" s="13"/>
      <c r="H18" s="13"/>
      <c r="I18" s="14"/>
      <c r="J18" s="16"/>
      <c r="K18" s="12"/>
      <c r="L18" s="14"/>
      <c r="M18" s="21"/>
    </row>
    <row r="19" spans="2:13" x14ac:dyDescent="0.2">
      <c r="B19" s="12"/>
      <c r="C19" s="12"/>
      <c r="D19" s="12"/>
      <c r="E19" s="13"/>
      <c r="F19" s="13"/>
      <c r="G19" s="13"/>
      <c r="H19" s="13"/>
      <c r="I19" s="14"/>
      <c r="J19" s="15"/>
      <c r="K19" s="12"/>
      <c r="L19" s="14"/>
      <c r="M19" s="14"/>
    </row>
    <row r="21" spans="2:13" x14ac:dyDescent="0.2">
      <c r="H21" s="17" t="s">
        <v>41</v>
      </c>
      <c r="I21" s="18">
        <f>SUM(I10:I14)</f>
        <v>625.53</v>
      </c>
      <c r="J21" s="18">
        <f>SUM(J10:J14)</f>
        <v>465.34000000000003</v>
      </c>
      <c r="K21" s="17" t="s">
        <v>41</v>
      </c>
      <c r="L21" s="18">
        <f>SUM(L10:L14)</f>
        <v>553.59</v>
      </c>
      <c r="M21" s="18">
        <f>SUM(M10:M14)</f>
        <v>420.8</v>
      </c>
    </row>
    <row r="22" spans="2:13" x14ac:dyDescent="0.2">
      <c r="H22" s="17" t="s">
        <v>42</v>
      </c>
      <c r="I22" s="18">
        <f>I21*12</f>
        <v>7506.36</v>
      </c>
      <c r="J22" s="18">
        <f>J21*12</f>
        <v>5584.08</v>
      </c>
      <c r="K22" s="17" t="s">
        <v>42</v>
      </c>
      <c r="L22" s="18">
        <f>L21*12</f>
        <v>6643.08</v>
      </c>
      <c r="M22" s="18">
        <f>M21*12</f>
        <v>5049.6000000000004</v>
      </c>
    </row>
    <row r="23" spans="2:13" x14ac:dyDescent="0.2">
      <c r="H23" s="17" t="s">
        <v>43</v>
      </c>
      <c r="J23" s="18">
        <f>I22-J22</f>
        <v>1922.2799999999997</v>
      </c>
      <c r="K23" s="17" t="s">
        <v>43</v>
      </c>
      <c r="M23" s="18">
        <f>L22-M22</f>
        <v>1593.4799999999996</v>
      </c>
    </row>
  </sheetData>
  <pageMargins left="0.7" right="0.7" top="0.75" bottom="0.75" header="0.3" footer="0.3"/>
  <pageSetup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D597-AD71-48EF-9E45-7644C6653791}">
  <dimension ref="A22:D22"/>
  <sheetViews>
    <sheetView showGridLines="0" workbookViewId="0">
      <selection activeCell="D29" sqref="D29"/>
    </sheetView>
  </sheetViews>
  <sheetFormatPr baseColWidth="10" defaultRowHeight="15" x14ac:dyDescent="0.25"/>
  <sheetData>
    <row r="22" spans="1:4" x14ac:dyDescent="0.25">
      <c r="A22" s="22" t="s">
        <v>48</v>
      </c>
      <c r="B22" s="22"/>
      <c r="C22" s="22"/>
      <c r="D22" s="2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7CFC-9ABD-4DBC-8C2B-0C28D7AED4A3}">
  <dimension ref="A1"/>
  <sheetViews>
    <sheetView showGridLines="0" workbookViewId="0">
      <selection activeCell="E12" sqref="E1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 Inicial</vt:lpstr>
      <vt:lpstr>Optimización</vt:lpstr>
      <vt:lpstr>Backup</vt:lpstr>
      <vt:lpstr>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Diego Baque Rosales</cp:lastModifiedBy>
  <dcterms:created xsi:type="dcterms:W3CDTF">2022-02-16T23:20:30Z</dcterms:created>
  <dcterms:modified xsi:type="dcterms:W3CDTF">2022-02-25T19:46:55Z</dcterms:modified>
</cp:coreProperties>
</file>