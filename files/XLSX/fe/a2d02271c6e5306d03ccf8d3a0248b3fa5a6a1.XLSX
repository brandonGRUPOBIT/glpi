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B51555F8-058B-4845-96E3-DD5101A78D59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Maquinas Virtuales" sheetId="1" r:id="rId1"/>
    <sheet name="SQL" sheetId="2" r:id="rId2"/>
    <sheet name="anali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14" i="1"/>
  <c r="K15" i="1"/>
  <c r="K16" i="1"/>
  <c r="K18" i="1"/>
  <c r="K22" i="1"/>
  <c r="K25" i="1"/>
  <c r="K27" i="1"/>
  <c r="K29" i="1"/>
  <c r="K30" i="1"/>
  <c r="K31" i="1"/>
  <c r="K33" i="1"/>
  <c r="K36" i="1"/>
  <c r="K43" i="1"/>
  <c r="K44" i="1"/>
  <c r="K46" i="1"/>
  <c r="K47" i="1"/>
  <c r="K49" i="1"/>
  <c r="K51" i="1"/>
  <c r="K60" i="1"/>
  <c r="K61" i="1"/>
  <c r="K65" i="1"/>
  <c r="K68" i="1"/>
  <c r="K71" i="1"/>
  <c r="K74" i="1"/>
  <c r="K79" i="1"/>
  <c r="K81" i="1"/>
  <c r="K84" i="1"/>
  <c r="K94" i="1"/>
  <c r="K99" i="1"/>
  <c r="K100" i="1"/>
  <c r="K103" i="1"/>
  <c r="K107" i="1"/>
  <c r="K108" i="1"/>
  <c r="K111" i="1"/>
  <c r="K112" i="1"/>
  <c r="K113" i="1"/>
  <c r="K114" i="1"/>
  <c r="K115" i="1"/>
  <c r="K117" i="1"/>
  <c r="K123" i="1"/>
  <c r="K127" i="1"/>
  <c r="K128" i="1"/>
  <c r="K131" i="1"/>
  <c r="K133" i="1"/>
  <c r="K134" i="1"/>
  <c r="K136" i="1"/>
  <c r="K138" i="1"/>
  <c r="K148" i="1"/>
  <c r="K149" i="1"/>
  <c r="K153" i="1"/>
  <c r="K156" i="1"/>
  <c r="K158" i="1"/>
  <c r="K161" i="1"/>
  <c r="K164" i="1"/>
  <c r="K167" i="1"/>
  <c r="K170" i="1"/>
  <c r="K171" i="1"/>
  <c r="K175" i="1"/>
  <c r="K178" i="1"/>
  <c r="K188" i="1"/>
  <c r="K189" i="1"/>
  <c r="J5" i="1"/>
  <c r="J6" i="1"/>
  <c r="J7" i="1"/>
  <c r="J14" i="1"/>
  <c r="J15" i="1"/>
  <c r="J16" i="1"/>
  <c r="J18" i="1"/>
  <c r="J22" i="1"/>
  <c r="J25" i="1"/>
  <c r="J27" i="1"/>
  <c r="J29" i="1"/>
  <c r="J30" i="1"/>
  <c r="J31" i="1"/>
  <c r="J33" i="1"/>
  <c r="J36" i="1"/>
  <c r="J43" i="1"/>
  <c r="J44" i="1"/>
  <c r="J46" i="1"/>
  <c r="J47" i="1"/>
  <c r="J49" i="1"/>
  <c r="J51" i="1"/>
  <c r="J60" i="1"/>
  <c r="J61" i="1"/>
  <c r="J65" i="1"/>
  <c r="J68" i="1"/>
  <c r="J71" i="1"/>
  <c r="J74" i="1"/>
  <c r="J79" i="1"/>
  <c r="J81" i="1"/>
  <c r="J84" i="1"/>
  <c r="J94" i="1"/>
  <c r="J99" i="1"/>
  <c r="J100" i="1"/>
  <c r="J103" i="1"/>
  <c r="J107" i="1"/>
  <c r="J108" i="1"/>
  <c r="J111" i="1"/>
  <c r="J112" i="1"/>
  <c r="J113" i="1"/>
  <c r="J114" i="1"/>
  <c r="J115" i="1"/>
  <c r="J117" i="1"/>
  <c r="J123" i="1"/>
  <c r="J127" i="1"/>
  <c r="J128" i="1"/>
  <c r="J131" i="1"/>
  <c r="J133" i="1"/>
  <c r="J134" i="1"/>
  <c r="J136" i="1"/>
  <c r="J138" i="1"/>
  <c r="J148" i="1"/>
  <c r="J149" i="1"/>
  <c r="J153" i="1"/>
  <c r="J156" i="1"/>
  <c r="J158" i="1"/>
  <c r="J161" i="1"/>
  <c r="J164" i="1"/>
  <c r="J167" i="1"/>
  <c r="J170" i="1"/>
  <c r="J171" i="1"/>
  <c r="J175" i="1"/>
  <c r="J178" i="1"/>
  <c r="J188" i="1"/>
  <c r="J189" i="1"/>
  <c r="I5" i="1"/>
  <c r="I6" i="1"/>
  <c r="I7" i="1"/>
  <c r="I14" i="1"/>
  <c r="I15" i="1"/>
  <c r="I16" i="1"/>
  <c r="I18" i="1"/>
  <c r="I22" i="1"/>
  <c r="I25" i="1"/>
  <c r="I27" i="1"/>
  <c r="I29" i="1"/>
  <c r="I30" i="1"/>
  <c r="I31" i="1"/>
  <c r="I33" i="1"/>
  <c r="I36" i="1"/>
  <c r="I43" i="1"/>
  <c r="I44" i="1"/>
  <c r="I46" i="1"/>
  <c r="I47" i="1"/>
  <c r="I49" i="1"/>
  <c r="I51" i="1"/>
  <c r="I60" i="1"/>
  <c r="I61" i="1"/>
  <c r="I65" i="1"/>
  <c r="I68" i="1"/>
  <c r="I71" i="1"/>
  <c r="I74" i="1"/>
  <c r="I79" i="1"/>
  <c r="I81" i="1"/>
  <c r="I84" i="1"/>
  <c r="I94" i="1"/>
  <c r="I99" i="1"/>
  <c r="I100" i="1"/>
  <c r="I103" i="1"/>
  <c r="I107" i="1"/>
  <c r="I108" i="1"/>
  <c r="I111" i="1"/>
  <c r="I112" i="1"/>
  <c r="I113" i="1"/>
  <c r="I114" i="1"/>
  <c r="I115" i="1"/>
  <c r="I117" i="1"/>
  <c r="I123" i="1"/>
  <c r="I127" i="1"/>
  <c r="I128" i="1"/>
  <c r="I131" i="1"/>
  <c r="I133" i="1"/>
  <c r="I134" i="1"/>
  <c r="I136" i="1"/>
  <c r="I138" i="1"/>
  <c r="I148" i="1"/>
  <c r="I149" i="1"/>
  <c r="I153" i="1"/>
  <c r="I156" i="1"/>
  <c r="I158" i="1"/>
  <c r="I161" i="1"/>
  <c r="I164" i="1"/>
  <c r="I167" i="1"/>
  <c r="I170" i="1"/>
  <c r="I171" i="1"/>
  <c r="I175" i="1"/>
  <c r="I178" i="1"/>
  <c r="I188" i="1"/>
  <c r="I189" i="1"/>
</calcChain>
</file>

<file path=xl/sharedStrings.xml><?xml version="1.0" encoding="utf-8"?>
<sst xmlns="http://schemas.openxmlformats.org/spreadsheetml/2006/main" count="2215" uniqueCount="555">
  <si>
    <t>NAME</t>
  </si>
  <si>
    <t>STATUS</t>
  </si>
  <si>
    <t>OPERATING SYSTEM</t>
  </si>
  <si>
    <t>SIZE</t>
  </si>
  <si>
    <t>PRIVATE IP ADDRESS</t>
  </si>
  <si>
    <t>PUBLIC IP ADDRESS</t>
  </si>
  <si>
    <t>DISKS</t>
  </si>
  <si>
    <t>AAYLA</t>
  </si>
  <si>
    <t>Running</t>
  </si>
  <si>
    <t>Windows</t>
  </si>
  <si>
    <t>Standard_F4s_v2</t>
  </si>
  <si>
    <t>10.0.2.19</t>
  </si>
  <si>
    <t>-</t>
  </si>
  <si>
    <t>Akroma</t>
  </si>
  <si>
    <t>Stopped (deallocated)</t>
  </si>
  <si>
    <t>Standard_E4-2s_v3</t>
  </si>
  <si>
    <t>10.0.4.40</t>
  </si>
  <si>
    <t>Alema</t>
  </si>
  <si>
    <t>Standard_B4ms</t>
  </si>
  <si>
    <t>10.0.4.13</t>
  </si>
  <si>
    <t>ANGRENE</t>
  </si>
  <si>
    <t>Standard_D4s_v3</t>
  </si>
  <si>
    <t>10.0.2.55</t>
  </si>
  <si>
    <t>astri</t>
  </si>
  <si>
    <t>10.0.4.34</t>
  </si>
  <si>
    <t>Aurra</t>
  </si>
  <si>
    <t>10.0.4.22</t>
  </si>
  <si>
    <t>AZR-FAC-01</t>
  </si>
  <si>
    <t>Linux</t>
  </si>
  <si>
    <t>Standard_A4_v2</t>
  </si>
  <si>
    <t>10.0.2.111</t>
  </si>
  <si>
    <t>AZR-FMG-FMG-A</t>
  </si>
  <si>
    <t>Standard_D2s_v3</t>
  </si>
  <si>
    <t>10.0.2.107</t>
  </si>
  <si>
    <t>AZR-FW-01</t>
  </si>
  <si>
    <t>Standard_D8s_v3</t>
  </si>
  <si>
    <t>10.0.0.4</t>
  </si>
  <si>
    <t>52.252.97.198</t>
  </si>
  <si>
    <t>AZR-FW-FGT-A</t>
  </si>
  <si>
    <t>10.0.0.104</t>
  </si>
  <si>
    <t>BARRISS</t>
  </si>
  <si>
    <t>10.0.2.18</t>
  </si>
  <si>
    <t>Blount</t>
  </si>
  <si>
    <t>10.0.2.23</t>
  </si>
  <si>
    <t>Breha</t>
  </si>
  <si>
    <t>Standard_F8s_v2</t>
  </si>
  <si>
    <t>10.0.2.61</t>
  </si>
  <si>
    <t>Caleria</t>
  </si>
  <si>
    <t>10.0.2.28</t>
  </si>
  <si>
    <t>Charal</t>
  </si>
  <si>
    <t>Standard_B2ms</t>
  </si>
  <si>
    <t>172.10.10.15</t>
  </si>
  <si>
    <t>Crovax</t>
  </si>
  <si>
    <t>10.0.2.29</t>
  </si>
  <si>
    <t>DARTHCOGNUS</t>
  </si>
  <si>
    <t>10.0.4.36</t>
  </si>
  <si>
    <t>DarthMaul</t>
  </si>
  <si>
    <t>10.0.2.41</t>
  </si>
  <si>
    <t>Dooku2</t>
  </si>
  <si>
    <t>10.0.2.47</t>
  </si>
  <si>
    <t>Dunwell</t>
  </si>
  <si>
    <t>10.0.2.62</t>
  </si>
  <si>
    <t>Endor</t>
  </si>
  <si>
    <t>10.0.2.42</t>
  </si>
  <si>
    <t>Faro</t>
  </si>
  <si>
    <t>172.10.10.19</t>
  </si>
  <si>
    <t>Fell</t>
  </si>
  <si>
    <t>10.0.2.34</t>
  </si>
  <si>
    <t>Garazeb</t>
  </si>
  <si>
    <t>10.0.2.63</t>
  </si>
  <si>
    <t>Gungi</t>
  </si>
  <si>
    <t>172.10.10.18</t>
  </si>
  <si>
    <t>HARRAR</t>
  </si>
  <si>
    <t>10.0.2.31</t>
  </si>
  <si>
    <t>Hiram</t>
  </si>
  <si>
    <t>Standard_F2s_v2</t>
  </si>
  <si>
    <t>10.0.2.15</t>
  </si>
  <si>
    <t>Hondo</t>
  </si>
  <si>
    <t>10.0.4.10</t>
  </si>
  <si>
    <t>Ignus</t>
  </si>
  <si>
    <t>10.0.2.35</t>
  </si>
  <si>
    <t>Inquisitor</t>
  </si>
  <si>
    <t>10.0.2.60</t>
  </si>
  <si>
    <t>Jaden</t>
  </si>
  <si>
    <t>10.0.2.64</t>
  </si>
  <si>
    <t>Jan</t>
  </si>
  <si>
    <t>10.0.2.25</t>
  </si>
  <si>
    <t>JAN-REST</t>
  </si>
  <si>
    <t>10.1.0.5</t>
  </si>
  <si>
    <t>20.110.134.23</t>
  </si>
  <si>
    <t>Janus</t>
  </si>
  <si>
    <t>10.0.2.43</t>
  </si>
  <si>
    <t>Jarael</t>
  </si>
  <si>
    <t>10.0.2.44</t>
  </si>
  <si>
    <t>Jawa</t>
  </si>
  <si>
    <t>10.0.2.30</t>
  </si>
  <si>
    <t>Jerec</t>
  </si>
  <si>
    <t>10.0.2.65</t>
  </si>
  <si>
    <t>JOCLAD</t>
  </si>
  <si>
    <t>10.0.1.10</t>
  </si>
  <si>
    <t>JOCLAD-REST</t>
  </si>
  <si>
    <t>10.1.0.49</t>
  </si>
  <si>
    <t>20.122.141.238</t>
  </si>
  <si>
    <t>JocladQA</t>
  </si>
  <si>
    <t>10.0.4.5</t>
  </si>
  <si>
    <t>JOELLE</t>
  </si>
  <si>
    <t>10.0.2.53</t>
  </si>
  <si>
    <t>joruus</t>
  </si>
  <si>
    <t>10.0.2.95</t>
  </si>
  <si>
    <t>K-Atom</t>
  </si>
  <si>
    <t>10.0.2.6</t>
  </si>
  <si>
    <t>KADANN</t>
  </si>
  <si>
    <t>10.0.2.26</t>
  </si>
  <si>
    <t>Karador</t>
  </si>
  <si>
    <t>Standard_D4_v3</t>
  </si>
  <si>
    <t>10.0.4.17</t>
  </si>
  <si>
    <t>KARNESS</t>
  </si>
  <si>
    <t>Standard_L4s</t>
  </si>
  <si>
    <t>10.0.2.96</t>
  </si>
  <si>
    <t>Leia</t>
  </si>
  <si>
    <t>10.0.2.13</t>
  </si>
  <si>
    <t>MAGNUS</t>
  </si>
  <si>
    <t>10.0.2.99</t>
  </si>
  <si>
    <t>Nordom</t>
  </si>
  <si>
    <t>10.0.2.36</t>
  </si>
  <si>
    <t>Orrelios</t>
  </si>
  <si>
    <t>10.0.2.59</t>
  </si>
  <si>
    <t>PADME</t>
  </si>
  <si>
    <t>172.10.10.17</t>
  </si>
  <si>
    <t>172.20.5.6</t>
  </si>
  <si>
    <t>Rebel</t>
  </si>
  <si>
    <t>Standard_D2_v3</t>
  </si>
  <si>
    <t>10.0.2.12</t>
  </si>
  <si>
    <t>RestauracionesPrueba</t>
  </si>
  <si>
    <t>10.1.0.4</t>
  </si>
  <si>
    <t>S01ACH001</t>
  </si>
  <si>
    <t>10.0.2.66</t>
  </si>
  <si>
    <t>S01ACH002</t>
  </si>
  <si>
    <t>10.0.2.67</t>
  </si>
  <si>
    <t>S01DES001</t>
  </si>
  <si>
    <t>Standard_A2_v2</t>
  </si>
  <si>
    <t>172.10.10.21</t>
  </si>
  <si>
    <t>s01des003</t>
  </si>
  <si>
    <t>10.0.4.31</t>
  </si>
  <si>
    <t>s01des004</t>
  </si>
  <si>
    <t>10.0.4.32</t>
  </si>
  <si>
    <t>S01DES007</t>
  </si>
  <si>
    <t>172.10.10.14</t>
  </si>
  <si>
    <t>S01DES008</t>
  </si>
  <si>
    <t>Standard_A2m_v2</t>
  </si>
  <si>
    <t>172.10.10.13</t>
  </si>
  <si>
    <t>S01GCE001</t>
  </si>
  <si>
    <t>Standard_D1_v2</t>
  </si>
  <si>
    <t>10.0.2.11</t>
  </si>
  <si>
    <t>S01PRD001</t>
  </si>
  <si>
    <t>10.0.2.46</t>
  </si>
  <si>
    <t>S01PRD003</t>
  </si>
  <si>
    <t>10.0.2.38</t>
  </si>
  <si>
    <t>S01PRD004</t>
  </si>
  <si>
    <t>10.0.2.10</t>
  </si>
  <si>
    <t>S01PRD005</t>
  </si>
  <si>
    <t>10.0.2.5</t>
  </si>
  <si>
    <t>S01PRD006</t>
  </si>
  <si>
    <t>10.0.2.27</t>
  </si>
  <si>
    <t>S01PRD009</t>
  </si>
  <si>
    <t>10.0.2.39</t>
  </si>
  <si>
    <t>S01PRD013</t>
  </si>
  <si>
    <t>Standard_B2s</t>
  </si>
  <si>
    <t>10.0.2.16</t>
  </si>
  <si>
    <t>S01PRD014</t>
  </si>
  <si>
    <t>10.0.2.17</t>
  </si>
  <si>
    <t>S01PRD019</t>
  </si>
  <si>
    <t>10.0.2.78</t>
  </si>
  <si>
    <t>S01PRD023</t>
  </si>
  <si>
    <t>10.0.2.70</t>
  </si>
  <si>
    <t>S01PRD024</t>
  </si>
  <si>
    <t>Standard_F4</t>
  </si>
  <si>
    <t>10.0.2.21</t>
  </si>
  <si>
    <t>S01PRD026</t>
  </si>
  <si>
    <t>10.0.2.50</t>
  </si>
  <si>
    <t>S01PRD027</t>
  </si>
  <si>
    <t>Standard_D2_v2</t>
  </si>
  <si>
    <t>10.0.2.49</t>
  </si>
  <si>
    <t>S01PRD028</t>
  </si>
  <si>
    <t>10.0.1.11</t>
  </si>
  <si>
    <t>S01PRD030</t>
  </si>
  <si>
    <t>10.0.2.32</t>
  </si>
  <si>
    <t>S01PRD031</t>
  </si>
  <si>
    <t>10.0.2.33</t>
  </si>
  <si>
    <t>S01PRD032</t>
  </si>
  <si>
    <t>10.0.2.89</t>
  </si>
  <si>
    <t>S01PRD033</t>
  </si>
  <si>
    <t>10.0.2.74</t>
  </si>
  <si>
    <t>S01PRD034</t>
  </si>
  <si>
    <t>10.0.1.12</t>
  </si>
  <si>
    <t>S01PRD035</t>
  </si>
  <si>
    <t>10.0.2.75</t>
  </si>
  <si>
    <t>S01PRD037</t>
  </si>
  <si>
    <t>10.0.2.71</t>
  </si>
  <si>
    <t>S01PRD038</t>
  </si>
  <si>
    <t>10.0.2.9</t>
  </si>
  <si>
    <t>S01PRD039</t>
  </si>
  <si>
    <t>10.0.2.22</t>
  </si>
  <si>
    <t>S01PRD040</t>
  </si>
  <si>
    <t>10.0.2.69</t>
  </si>
  <si>
    <t>S01PRD044</t>
  </si>
  <si>
    <t>10.0.2.68</t>
  </si>
  <si>
    <t>S01PRD046</t>
  </si>
  <si>
    <t>10.0.2.8</t>
  </si>
  <si>
    <t>S01QA003</t>
  </si>
  <si>
    <t>10.0.4.35</t>
  </si>
  <si>
    <t>s01qas001</t>
  </si>
  <si>
    <t>10.0.4.37</t>
  </si>
  <si>
    <t>s01qas002</t>
  </si>
  <si>
    <t>10.0.4.23</t>
  </si>
  <si>
    <t>S01QAS005</t>
  </si>
  <si>
    <t>10.0.4.12</t>
  </si>
  <si>
    <t>S01QAS006</t>
  </si>
  <si>
    <t>10.0.4.4</t>
  </si>
  <si>
    <t>S01QAS011</t>
  </si>
  <si>
    <t>10.0.4.8</t>
  </si>
  <si>
    <t>S01RPA001</t>
  </si>
  <si>
    <t>10.0.2.24</t>
  </si>
  <si>
    <t>S02PRD001</t>
  </si>
  <si>
    <t>10.0.2.58</t>
  </si>
  <si>
    <t>S02PRD004</t>
  </si>
  <si>
    <t>Standard_D11_v2</t>
  </si>
  <si>
    <t>10.0.2.72</t>
  </si>
  <si>
    <t>S02PRD005</t>
  </si>
  <si>
    <t>10.0.2.73</t>
  </si>
  <si>
    <t>S02PRD006</t>
  </si>
  <si>
    <t>10.0.2.51</t>
  </si>
  <si>
    <t>S02PRD007</t>
  </si>
  <si>
    <t>10.0.2.52</t>
  </si>
  <si>
    <t>S02PRD009</t>
  </si>
  <si>
    <t>Standard_E2s_v3</t>
  </si>
  <si>
    <t>10.0.2.56</t>
  </si>
  <si>
    <t>S02PRD010</t>
  </si>
  <si>
    <t>10.0.2.54</t>
  </si>
  <si>
    <t>S11CLT002</t>
  </si>
  <si>
    <t>172.10.10.16</t>
  </si>
  <si>
    <t>172.20.5.4</t>
  </si>
  <si>
    <t>20.186.76.47</t>
  </si>
  <si>
    <t>S11CLT004</t>
  </si>
  <si>
    <t>Standard_D4as_v4</t>
  </si>
  <si>
    <t>172.20.5.7</t>
  </si>
  <si>
    <t>52.179.209.204</t>
  </si>
  <si>
    <t>S11DES001</t>
  </si>
  <si>
    <t>172.10.10.5</t>
  </si>
  <si>
    <t>172.20.5.12</t>
  </si>
  <si>
    <t>40.84.37.46</t>
  </si>
  <si>
    <t>S11DES002</t>
  </si>
  <si>
    <t>172.10.10.10</t>
  </si>
  <si>
    <t>172.20.5.14</t>
  </si>
  <si>
    <t>52.251.51.107</t>
  </si>
  <si>
    <t>S11DES003</t>
  </si>
  <si>
    <t>172.10.10.11</t>
  </si>
  <si>
    <t>172.20.5.15</t>
  </si>
  <si>
    <t>52.251.35.49</t>
  </si>
  <si>
    <t>S11DES004</t>
  </si>
  <si>
    <t>172.10.10.12</t>
  </si>
  <si>
    <t>20.122.145.57</t>
  </si>
  <si>
    <t>172.20.5.18</t>
  </si>
  <si>
    <t>52.247.15.109</t>
  </si>
  <si>
    <t>S11DES005</t>
  </si>
  <si>
    <t>172.10.10.9</t>
  </si>
  <si>
    <t>S11DES006</t>
  </si>
  <si>
    <t>172.10.10.20</t>
  </si>
  <si>
    <t>S11DES011</t>
  </si>
  <si>
    <t>172.10.10.7</t>
  </si>
  <si>
    <t>S11PRD002</t>
  </si>
  <si>
    <t>10.0.2.90</t>
  </si>
  <si>
    <t>S11PRD015</t>
  </si>
  <si>
    <t>10.0.2.81</t>
  </si>
  <si>
    <t>S11PRD016</t>
  </si>
  <si>
    <t>10.0.2.82</t>
  </si>
  <si>
    <t>S11PRD017</t>
  </si>
  <si>
    <t>10.0.2.83</t>
  </si>
  <si>
    <t>S11PRD018</t>
  </si>
  <si>
    <t>10.0.2.84</t>
  </si>
  <si>
    <t>S11PRD019</t>
  </si>
  <si>
    <t>10.0.2.85</t>
  </si>
  <si>
    <t>S11PRD021</t>
  </si>
  <si>
    <t>10.0.2.80</t>
  </si>
  <si>
    <t>S11PRD023</t>
  </si>
  <si>
    <t>10.0.1.13</t>
  </si>
  <si>
    <t>S11PRD024</t>
  </si>
  <si>
    <t>10.0.2.91</t>
  </si>
  <si>
    <t>S11PRD025</t>
  </si>
  <si>
    <t>10.0.2.92</t>
  </si>
  <si>
    <t>S11PRD030</t>
  </si>
  <si>
    <t>10.0.2.88</t>
  </si>
  <si>
    <t>S11PRD031</t>
  </si>
  <si>
    <t>172.10.10.6</t>
  </si>
  <si>
    <t>10.0.2.4</t>
  </si>
  <si>
    <t>S11PRD032</t>
  </si>
  <si>
    <t>10.0.2.7</t>
  </si>
  <si>
    <t>S11PRD033</t>
  </si>
  <si>
    <t>10.0.2.76</t>
  </si>
  <si>
    <t>S11PRD034</t>
  </si>
  <si>
    <t>10.0.2.100</t>
  </si>
  <si>
    <t>S11PRD035</t>
  </si>
  <si>
    <t>10.0.2.101</t>
  </si>
  <si>
    <t>S11prd036</t>
  </si>
  <si>
    <t>10.0.2.102</t>
  </si>
  <si>
    <t>S11PRD037</t>
  </si>
  <si>
    <t>10.0.2.103</t>
  </si>
  <si>
    <t>S11PRD038</t>
  </si>
  <si>
    <t>Standard_F16s_v2</t>
  </si>
  <si>
    <t>10.0.2.104</t>
  </si>
  <si>
    <t>S11PRD039</t>
  </si>
  <si>
    <t>Standard_F8s</t>
  </si>
  <si>
    <t>10.0.2.105</t>
  </si>
  <si>
    <t>S11PRD040</t>
  </si>
  <si>
    <t>10.0.2.106</t>
  </si>
  <si>
    <t>S11PRD041</t>
  </si>
  <si>
    <t>10.0.2.109</t>
  </si>
  <si>
    <t>S11PRD042</t>
  </si>
  <si>
    <t>10.0.2.110</t>
  </si>
  <si>
    <t>S11PRD043</t>
  </si>
  <si>
    <t>10.0.2.98</t>
  </si>
  <si>
    <t>S11PRD045</t>
  </si>
  <si>
    <t>10.0.2.77</t>
  </si>
  <si>
    <t>S11PRD046</t>
  </si>
  <si>
    <t>10.0.2.112</t>
  </si>
  <si>
    <t>S11QA001</t>
  </si>
  <si>
    <t>10.0.4.6</t>
  </si>
  <si>
    <t>S11QA002</t>
  </si>
  <si>
    <t>10.0.4.7</t>
  </si>
  <si>
    <t>S11QA006</t>
  </si>
  <si>
    <t>10.0.4.14</t>
  </si>
  <si>
    <t>S11QAS011</t>
  </si>
  <si>
    <t>172.10.10.4</t>
  </si>
  <si>
    <t>10.0.4.11</t>
  </si>
  <si>
    <t>S11QAS012</t>
  </si>
  <si>
    <t>10.0.1.14</t>
  </si>
  <si>
    <t>S11QAS013</t>
  </si>
  <si>
    <t>10.0.1.15</t>
  </si>
  <si>
    <t>S11QAS014</t>
  </si>
  <si>
    <t>10.0.4.18</t>
  </si>
  <si>
    <t>S11QAS015</t>
  </si>
  <si>
    <t>10.0.4.19</t>
  </si>
  <si>
    <t>S11QAS016</t>
  </si>
  <si>
    <t>10.0.4.20</t>
  </si>
  <si>
    <t>S11QAS020</t>
  </si>
  <si>
    <t>10.0.4.24</t>
  </si>
  <si>
    <t>S11QAS021</t>
  </si>
  <si>
    <t>10.0.4.25</t>
  </si>
  <si>
    <t>S11QAS022</t>
  </si>
  <si>
    <t>10.0.4.26</t>
  </si>
  <si>
    <t>S11QAS023</t>
  </si>
  <si>
    <t>10.0.4.33</t>
  </si>
  <si>
    <t>S11QAS025</t>
  </si>
  <si>
    <t>10.0.4.29</t>
  </si>
  <si>
    <t>S11TPC004</t>
  </si>
  <si>
    <t>192.168.1.7</t>
  </si>
  <si>
    <t>52.254.77.13</t>
  </si>
  <si>
    <t>S11TPC005</t>
  </si>
  <si>
    <t>192.168.1.8</t>
  </si>
  <si>
    <t>13.77.66.116</t>
  </si>
  <si>
    <t>S11TPC006</t>
  </si>
  <si>
    <t>192.168.1.9</t>
  </si>
  <si>
    <t>104.46.110.70</t>
  </si>
  <si>
    <t>SENATOR</t>
  </si>
  <si>
    <t>10.0.2.45</t>
  </si>
  <si>
    <t>shado</t>
  </si>
  <si>
    <t>10.0.4.27</t>
  </si>
  <si>
    <t>sio</t>
  </si>
  <si>
    <t>10.0.2.79</t>
  </si>
  <si>
    <t>SSQLCAL001</t>
  </si>
  <si>
    <t>172.10.10.8</t>
  </si>
  <si>
    <t>SUGI</t>
  </si>
  <si>
    <t>10.0.4.39</t>
  </si>
  <si>
    <t>Syndulla</t>
  </si>
  <si>
    <t>10.0.2.37</t>
  </si>
  <si>
    <t>TEEBO</t>
  </si>
  <si>
    <t>10.0.2.14</t>
  </si>
  <si>
    <t>Teneniel</t>
  </si>
  <si>
    <t>10.0.2.40</t>
  </si>
  <si>
    <t>tibor</t>
  </si>
  <si>
    <t>10.0.4.28</t>
  </si>
  <si>
    <t>Tills</t>
  </si>
  <si>
    <t>10.0.4.9</t>
  </si>
  <si>
    <t>Tiplee</t>
  </si>
  <si>
    <t>10.0.2.48</t>
  </si>
  <si>
    <t>TS1</t>
  </si>
  <si>
    <t>10.0.2.57</t>
  </si>
  <si>
    <t>VESTARA</t>
  </si>
  <si>
    <t>10.0.2.97</t>
  </si>
  <si>
    <t>VM-WVDBICSA-0</t>
  </si>
  <si>
    <t>Standard_D8as_v4</t>
  </si>
  <si>
    <t>10.0.3.16</t>
  </si>
  <si>
    <t>VM-WVDBICSA-1</t>
  </si>
  <si>
    <t>10.0.3.5</t>
  </si>
  <si>
    <t>walon</t>
  </si>
  <si>
    <t>10.0.4.30</t>
  </si>
  <si>
    <t>WVD-BIC-ACH-0</t>
  </si>
  <si>
    <t>10.0.3.6</t>
  </si>
  <si>
    <t>WVD-BIC-SWF-0</t>
  </si>
  <si>
    <t>10.0.3.7</t>
  </si>
  <si>
    <t>WVD-BICSA-0</t>
  </si>
  <si>
    <t>10.0.3.10</t>
  </si>
  <si>
    <t>WVD-BICSA-1</t>
  </si>
  <si>
    <t>10.0.3.9</t>
  </si>
  <si>
    <t>WVD-BICSABT-0</t>
  </si>
  <si>
    <t>10.0.3.4</t>
  </si>
  <si>
    <t>WVD-BICSAPA-0</t>
  </si>
  <si>
    <t>Standard_D8ds_v4</t>
  </si>
  <si>
    <t>10.0.3.11</t>
  </si>
  <si>
    <t>WVD-BICSAPA-1</t>
  </si>
  <si>
    <t>10.0.3.12</t>
  </si>
  <si>
    <t>WVD-BICSAQA-0</t>
  </si>
  <si>
    <t>Standard_D4s_v4</t>
  </si>
  <si>
    <t>10.0.3.8</t>
  </si>
  <si>
    <t>WVD-EXTERNO-1</t>
  </si>
  <si>
    <t>10.0.3.13</t>
  </si>
  <si>
    <t>Wyrpuuk</t>
  </si>
  <si>
    <t>10.0.4.16</t>
  </si>
  <si>
    <t>Zuckuss</t>
  </si>
  <si>
    <t>Standard_DS11-1_v2</t>
  </si>
  <si>
    <t>10.0.4.21</t>
  </si>
  <si>
    <t>RESOURCE GROUP</t>
  </si>
  <si>
    <t>LICENSE TYPE</t>
  </si>
  <si>
    <t>VERSION</t>
  </si>
  <si>
    <t>EDITION</t>
  </si>
  <si>
    <t>LOCATION</t>
  </si>
  <si>
    <t>SUBSCRIPTION</t>
  </si>
  <si>
    <t>angrene</t>
  </si>
  <si>
    <t>rg01-sap</t>
  </si>
  <si>
    <t>Azure Hybrid Benefit</t>
  </si>
  <si>
    <t>SQL2008-WS2008</t>
  </si>
  <si>
    <t>Enterprise</t>
  </si>
  <si>
    <t>East US 2</t>
  </si>
  <si>
    <t>Microsoft Azure</t>
  </si>
  <si>
    <t>rg02-sap</t>
  </si>
  <si>
    <t>SQL2014-WS2012R2</t>
  </si>
  <si>
    <t>aurra</t>
  </si>
  <si>
    <t>SQL2012-WS2012R2</t>
  </si>
  <si>
    <t>breha</t>
  </si>
  <si>
    <t>rg11-monitor</t>
  </si>
  <si>
    <t>Standard</t>
  </si>
  <si>
    <t>caleria</t>
  </si>
  <si>
    <t>rg01-notificaciones</t>
  </si>
  <si>
    <t>SQL2008R2-WS2008R2</t>
  </si>
  <si>
    <t>charal</t>
  </si>
  <si>
    <t>rg05-ebanking</t>
  </si>
  <si>
    <t>315550cc-2345-4373-af53-6229f6e03b4d</t>
  </si>
  <si>
    <t>darthcognus</t>
  </si>
  <si>
    <t>rg02-eflujo</t>
  </si>
  <si>
    <t>endor</t>
  </si>
  <si>
    <t>rg01-callrex</t>
  </si>
  <si>
    <t>Pay As You Go</t>
  </si>
  <si>
    <t>Express</t>
  </si>
  <si>
    <t>garazeb</t>
  </si>
  <si>
    <t>rg11-ofac</t>
  </si>
  <si>
    <t>SQL2016-WS2016</t>
  </si>
  <si>
    <t>harrar</t>
  </si>
  <si>
    <t>rg01-sql</t>
  </si>
  <si>
    <t>hondo</t>
  </si>
  <si>
    <t>ignus</t>
  </si>
  <si>
    <t>rg11-fileon</t>
  </si>
  <si>
    <t>SQL2008-WS2008R2</t>
  </si>
  <si>
    <t>inquisitor</t>
  </si>
  <si>
    <t>rg21-sql</t>
  </si>
  <si>
    <t>jan</t>
  </si>
  <si>
    <t>rg01-reporting</t>
  </si>
  <si>
    <t>jarael</t>
  </si>
  <si>
    <t>k-atom</t>
  </si>
  <si>
    <t>rg11-atomos</t>
  </si>
  <si>
    <t>karador</t>
  </si>
  <si>
    <t>karness</t>
  </si>
  <si>
    <t>magnus</t>
  </si>
  <si>
    <t>orrelios</t>
  </si>
  <si>
    <t>rg21-ofac</t>
  </si>
  <si>
    <t>rg22-eibs</t>
  </si>
  <si>
    <t>s01des007</t>
  </si>
  <si>
    <t>s01prd003</t>
  </si>
  <si>
    <t>rg01-eflujo</t>
  </si>
  <si>
    <t>s01prd006</t>
  </si>
  <si>
    <t>rg01-sqlbi</t>
  </si>
  <si>
    <t>s01prd014</t>
  </si>
  <si>
    <t>rg01-network</t>
  </si>
  <si>
    <t>s01prd024</t>
  </si>
  <si>
    <t>rg01-teammate</t>
  </si>
  <si>
    <t>s01prd031</t>
  </si>
  <si>
    <t>s01prd033</t>
  </si>
  <si>
    <t>rg01-ebanking</t>
  </si>
  <si>
    <t>s01prd037</t>
  </si>
  <si>
    <t>rg11-assist</t>
  </si>
  <si>
    <t>s01qas006</t>
  </si>
  <si>
    <t>rg12-ofac</t>
  </si>
  <si>
    <t>s02prd005</t>
  </si>
  <si>
    <t>s02prd006</t>
  </si>
  <si>
    <t>rg21-eibs</t>
  </si>
  <si>
    <t>s02prd010</t>
  </si>
  <si>
    <t>s11des001</t>
  </si>
  <si>
    <t>rg14-sinpe</t>
  </si>
  <si>
    <t>rg14-tdc</t>
  </si>
  <si>
    <t>s11des004</t>
  </si>
  <si>
    <t>s11des005</t>
  </si>
  <si>
    <t>rg05-eflujos</t>
  </si>
  <si>
    <t>SQL2016-WS2019</t>
  </si>
  <si>
    <t>s11des011</t>
  </si>
  <si>
    <t>rg35-bicsacapital</t>
  </si>
  <si>
    <t>SQL2017-WS2016</t>
  </si>
  <si>
    <t>s11prd019</t>
  </si>
  <si>
    <t>rg11-sinpe</t>
  </si>
  <si>
    <t>SQL2019-WS2019</t>
  </si>
  <si>
    <t>s11prd025</t>
  </si>
  <si>
    <t>rg01-servicedesk</t>
  </si>
  <si>
    <t>s11prd030</t>
  </si>
  <si>
    <t>rg11-tdc</t>
  </si>
  <si>
    <t>s11prd034</t>
  </si>
  <si>
    <t>SQL2017-WS2019</t>
  </si>
  <si>
    <t>s11prd035</t>
  </si>
  <si>
    <t>SQL2019-WS2016</t>
  </si>
  <si>
    <t>rg01-aris</t>
  </si>
  <si>
    <t>s11qas011</t>
  </si>
  <si>
    <t>rg15-tekins</t>
  </si>
  <si>
    <t>rg12-tekins</t>
  </si>
  <si>
    <t>s11qas015</t>
  </si>
  <si>
    <t>rg02-ebanking</t>
  </si>
  <si>
    <t>s11qas021</t>
  </si>
  <si>
    <t>rg02-sql</t>
  </si>
  <si>
    <t>s11qas023</t>
  </si>
  <si>
    <t>rg02-ofac</t>
  </si>
  <si>
    <t>s11tpc005</t>
  </si>
  <si>
    <t>rg01-externos</t>
  </si>
  <si>
    <t>Developer</t>
  </si>
  <si>
    <t>sugi</t>
  </si>
  <si>
    <t>teneniel</t>
  </si>
  <si>
    <t>vestara</t>
  </si>
  <si>
    <t>wyrpuuk</t>
  </si>
  <si>
    <t>zuckuss</t>
  </si>
  <si>
    <t>SQL</t>
  </si>
  <si>
    <t>Si</t>
  </si>
  <si>
    <t>Licenciamiento</t>
  </si>
  <si>
    <t>Version</t>
  </si>
  <si>
    <t>Operativo</t>
  </si>
  <si>
    <t>FortiAuthenticator 6.4</t>
  </si>
  <si>
    <t>Linux (FortiOS v6.4.4)</t>
  </si>
  <si>
    <t>Windows (Windows Server 2012 R2 Standard)</t>
  </si>
  <si>
    <t>Windows (Windows Server 2008 R2 Standard)</t>
  </si>
  <si>
    <t>Windows (Windows Server 2012 R2 Datacenter)</t>
  </si>
  <si>
    <t>Windows (Windows Server 2016 Standard)</t>
  </si>
  <si>
    <t>Windows (Windows Server 2016 Datacenter)</t>
  </si>
  <si>
    <t>Windows (Windows Server 2019 Datacenter)</t>
  </si>
  <si>
    <t>Windows (Windows 10 Pro)</t>
  </si>
  <si>
    <t>Windows (Windows 10 Enterprise for Virtual Desktops)</t>
  </si>
  <si>
    <t>fortinet</t>
  </si>
  <si>
    <t>Grand Total</t>
  </si>
  <si>
    <t>Count of NAME</t>
  </si>
  <si>
    <t>(blank)</t>
  </si>
  <si>
    <t>Sistema Operativo</t>
  </si>
  <si>
    <t>Tipo de Sistema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</si>
</sst>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Sandoval" refreshedDate="44567.338743749999" createdVersion="7" refreshedVersion="7" minRefreshableVersion="3" recordCount="188" xr:uid="{00000000-000A-0000-FFFF-FFFF05000000}">
  <cacheSource type="worksheet">
    <worksheetSource name="Table1"/>
  </cacheSource>
  <cacheFields count="11">
    <cacheField name="NAME" numFmtId="0">
      <sharedItems/>
    </cacheField>
    <cacheField name="STATUS" numFmtId="0">
      <sharedItems/>
    </cacheField>
    <cacheField name="OPERATING SYSTEM" numFmtId="0">
      <sharedItems count="2">
        <s v="Windows"/>
        <s v="Linux"/>
      </sharedItems>
    </cacheField>
    <cacheField name="Operativo" numFmtId="0">
      <sharedItems containsBlank="1" count="12">
        <s v="Windows (Windows Server 2008 R2 Standard)"/>
        <s v="Windows (Windows Server 2012 R2 Standard)"/>
        <s v="FortiAuthenticator 6.4"/>
        <s v="fortinet"/>
        <s v="Linux (FortiOS v6.4.4)"/>
        <s v="Windows (Windows Server 2012 R2 Datacenter)"/>
        <s v="Windows (Windows Server 2016 Standard)"/>
        <m/>
        <s v="Windows (Windows Server 2016 Datacenter)"/>
        <s v="Windows (Windows Server 2019 Datacenter)"/>
        <s v="Windows (Windows 10 Pro)"/>
        <s v="Windows (Windows 10 Enterprise for Virtual Desktops)"/>
      </sharedItems>
    </cacheField>
    <cacheField name="SIZE" numFmtId="0">
      <sharedItems/>
    </cacheField>
    <cacheField name="PRIVATE IP ADDRESS" numFmtId="0">
      <sharedItems/>
    </cacheField>
    <cacheField name="PUBLIC IP ADDRESS" numFmtId="0">
      <sharedItems/>
    </cacheField>
    <cacheField name="DISKS" numFmtId="0">
      <sharedItems containsSemiMixedTypes="0" containsString="0" containsNumber="1" containsInteger="1" minValue="1" maxValue="10"/>
    </cacheField>
    <cacheField name="SQL" numFmtId="0">
      <sharedItems count="2">
        <s v="-"/>
        <s v="Si"/>
      </sharedItems>
    </cacheField>
    <cacheField name="Licenciamiento" numFmtId="0">
      <sharedItems/>
    </cacheField>
    <cacheField name="Ver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s v="AAYLA"/>
    <s v="Running"/>
    <x v="0"/>
    <x v="0"/>
    <s v="Standard_F4s_v2"/>
    <s v="10.0.2.19"/>
    <s v="-"/>
    <n v="1"/>
    <x v="0"/>
    <s v="-"/>
    <s v="-"/>
  </r>
  <r>
    <s v="Akroma"/>
    <s v="Stopped (deallocated)"/>
    <x v="0"/>
    <x v="0"/>
    <s v="Standard_E4-2s_v3"/>
    <s v="10.0.4.40"/>
    <s v="-"/>
    <n v="6"/>
    <x v="0"/>
    <s v="-"/>
    <s v="-"/>
  </r>
  <r>
    <s v="Alema"/>
    <s v="Running"/>
    <x v="0"/>
    <x v="0"/>
    <s v="Standard_B4ms"/>
    <s v="10.0.4.13"/>
    <s v="-"/>
    <n v="6"/>
    <x v="0"/>
    <s v="-"/>
    <s v="-"/>
  </r>
  <r>
    <s v="ANGRENE"/>
    <s v="Running"/>
    <x v="0"/>
    <x v="0"/>
    <s v="Standard_D4s_v3"/>
    <s v="10.0.2.55"/>
    <s v="-"/>
    <n v="9"/>
    <x v="1"/>
    <s v="Azure Hybrid Benefit"/>
    <s v="SQL2008-WS2008"/>
  </r>
  <r>
    <s v="astri"/>
    <s v="Running"/>
    <x v="0"/>
    <x v="1"/>
    <s v="Standard_E4-2s_v3"/>
    <s v="10.0.4.34"/>
    <s v="-"/>
    <n v="6"/>
    <x v="1"/>
    <s v="Azure Hybrid Benefit"/>
    <s v="SQL2014-WS2012R2"/>
  </r>
  <r>
    <s v="Aurra"/>
    <s v="Stopped (deallocated)"/>
    <x v="0"/>
    <x v="1"/>
    <s v="Standard_D4s_v3"/>
    <s v="10.0.4.22"/>
    <s v="-"/>
    <n v="7"/>
    <x v="1"/>
    <s v="Azure Hybrid Benefit"/>
    <s v="SQL2012-WS2012R2"/>
  </r>
  <r>
    <s v="AZR-FAC-01"/>
    <s v="Running"/>
    <x v="1"/>
    <x v="2"/>
    <s v="Standard_A4_v2"/>
    <s v="10.0.2.111"/>
    <s v="-"/>
    <n v="2"/>
    <x v="0"/>
    <s v="-"/>
    <s v="-"/>
  </r>
  <r>
    <s v="AZR-FMG-FMG-A"/>
    <s v="Running"/>
    <x v="1"/>
    <x v="3"/>
    <s v="Standard_D2s_v3"/>
    <s v="10.0.2.107"/>
    <s v="-"/>
    <n v="2"/>
    <x v="0"/>
    <s v="-"/>
    <s v="-"/>
  </r>
  <r>
    <s v="AZR-FW-01"/>
    <s v="Running"/>
    <x v="1"/>
    <x v="4"/>
    <s v="Standard_D8s_v3"/>
    <s v="10.0.0.4"/>
    <s v="52.252.97.198"/>
    <n v="1"/>
    <x v="0"/>
    <s v="-"/>
    <s v="-"/>
  </r>
  <r>
    <s v="AZR-FW-FGT-A"/>
    <s v="Running"/>
    <x v="1"/>
    <x v="3"/>
    <s v="Standard_D8s_v3"/>
    <s v="10.0.0.104"/>
    <s v="-"/>
    <n v="1"/>
    <x v="0"/>
    <s v="-"/>
    <s v="-"/>
  </r>
  <r>
    <s v="BARRISS"/>
    <s v="Running"/>
    <x v="0"/>
    <x v="1"/>
    <s v="Standard_B4ms"/>
    <s v="10.0.2.18"/>
    <s v="-"/>
    <n v="1"/>
    <x v="0"/>
    <s v="-"/>
    <s v="-"/>
  </r>
  <r>
    <s v="Blount"/>
    <s v="Running"/>
    <x v="0"/>
    <x v="1"/>
    <s v="Standard_F4s_v2"/>
    <s v="10.0.2.23"/>
    <s v="-"/>
    <n v="2"/>
    <x v="0"/>
    <s v="-"/>
    <s v="-"/>
  </r>
  <r>
    <s v="Breha"/>
    <s v="Running"/>
    <x v="0"/>
    <x v="1"/>
    <s v="Standard_F8s_v2"/>
    <s v="10.0.2.61"/>
    <s v="-"/>
    <n v="3"/>
    <x v="1"/>
    <s v="Azure Hybrid Benefit"/>
    <s v="SQL2012-WS2012R2"/>
  </r>
  <r>
    <s v="Caleria"/>
    <s v="Running"/>
    <x v="0"/>
    <x v="0"/>
    <s v="Standard_B4ms"/>
    <s v="10.0.2.28"/>
    <s v="-"/>
    <n v="2"/>
    <x v="1"/>
    <s v="Azure Hybrid Benefit"/>
    <s v="SQL2008R2-WS2008R2"/>
  </r>
  <r>
    <s v="Charal"/>
    <s v="Stopped (deallocated)"/>
    <x v="0"/>
    <x v="1"/>
    <s v="Standard_B2ms"/>
    <s v="172.10.10.15"/>
    <s v="-"/>
    <n v="2"/>
    <x v="1"/>
    <s v="Azure Hybrid Benefit"/>
    <s v="SQL2012-WS2012R2"/>
  </r>
  <r>
    <s v="Crovax"/>
    <s v="Running"/>
    <x v="0"/>
    <x v="0"/>
    <s v="Standard_F4s_v2"/>
    <s v="10.0.2.29"/>
    <s v="-"/>
    <n v="1"/>
    <x v="0"/>
    <s v="-"/>
    <s v="-"/>
  </r>
  <r>
    <s v="DARTHCOGNUS"/>
    <s v="Running"/>
    <x v="0"/>
    <x v="5"/>
    <s v="Standard_B2ms"/>
    <s v="10.0.4.36"/>
    <s v="-"/>
    <n v="1"/>
    <x v="1"/>
    <s v="Azure Hybrid Benefit"/>
    <s v="SQL2012-WS2012R2"/>
  </r>
  <r>
    <s v="DarthMaul"/>
    <s v="Running"/>
    <x v="0"/>
    <x v="0"/>
    <s v="Standard_F4s_v2"/>
    <s v="10.0.2.41"/>
    <s v="-"/>
    <n v="2"/>
    <x v="0"/>
    <s v="-"/>
    <s v="-"/>
  </r>
  <r>
    <s v="Dooku2"/>
    <s v="Running"/>
    <x v="0"/>
    <x v="1"/>
    <s v="Standard_B2ms"/>
    <s v="10.0.2.47"/>
    <s v="-"/>
    <n v="5"/>
    <x v="0"/>
    <s v="-"/>
    <s v="-"/>
  </r>
  <r>
    <s v="Dunwell"/>
    <s v="Running"/>
    <x v="0"/>
    <x v="1"/>
    <s v="Standard_F8s_v2"/>
    <s v="10.0.2.62"/>
    <s v="-"/>
    <n v="2"/>
    <x v="0"/>
    <s v="-"/>
    <s v="-"/>
  </r>
  <r>
    <s v="Endor"/>
    <s v="Running"/>
    <x v="0"/>
    <x v="1"/>
    <s v="Standard_F8s_v2"/>
    <s v="10.0.2.42"/>
    <s v="-"/>
    <n v="2"/>
    <x v="1"/>
    <s v="Pay As You Go"/>
    <s v="SQL2014-WS2012R2"/>
  </r>
  <r>
    <s v="Faro"/>
    <s v="Stopped (deallocated)"/>
    <x v="0"/>
    <x v="1"/>
    <s v="Standard_B2ms"/>
    <s v="172.10.10.19"/>
    <s v="-"/>
    <n v="1"/>
    <x v="0"/>
    <s v="-"/>
    <s v="-"/>
  </r>
  <r>
    <s v="Fell"/>
    <s v="Running"/>
    <x v="0"/>
    <x v="0"/>
    <s v="Standard_D2s_v3"/>
    <s v="10.0.2.34"/>
    <s v="-"/>
    <n v="2"/>
    <x v="0"/>
    <s v="-"/>
    <s v="-"/>
  </r>
  <r>
    <s v="Garazeb"/>
    <s v="Running"/>
    <x v="0"/>
    <x v="6"/>
    <s v="Standard_F8s_v2"/>
    <s v="10.0.2.63"/>
    <s v="-"/>
    <n v="3"/>
    <x v="1"/>
    <s v="Azure Hybrid Benefit"/>
    <s v="SQL2016-WS2016"/>
  </r>
  <r>
    <s v="Gungi"/>
    <s v="Running"/>
    <x v="0"/>
    <x v="1"/>
    <s v="Standard_E4-2s_v3"/>
    <s v="172.10.10.18"/>
    <s v="-"/>
    <n v="4"/>
    <x v="0"/>
    <s v="-"/>
    <s v="-"/>
  </r>
  <r>
    <s v="HARRAR"/>
    <s v="Running"/>
    <x v="0"/>
    <x v="5"/>
    <s v="Standard_F8s_v2"/>
    <s v="10.0.2.31"/>
    <s v="-"/>
    <n v="3"/>
    <x v="1"/>
    <s v="Azure Hybrid Benefit"/>
    <s v="SQL2012-WS2012R2"/>
  </r>
  <r>
    <s v="Hiram"/>
    <s v="Running"/>
    <x v="0"/>
    <x v="1"/>
    <s v="Standard_F2s_v2"/>
    <s v="10.0.2.15"/>
    <s v="-"/>
    <n v="1"/>
    <x v="0"/>
    <s v="-"/>
    <s v="-"/>
  </r>
  <r>
    <s v="Hondo"/>
    <s v="Running"/>
    <x v="0"/>
    <x v="1"/>
    <s v="Standard_E4-2s_v3"/>
    <s v="10.0.4.10"/>
    <s v="-"/>
    <n v="6"/>
    <x v="1"/>
    <s v="Azure Hybrid Benefit"/>
    <s v="SQL2014-WS2012R2"/>
  </r>
  <r>
    <s v="Ignus"/>
    <s v="Running"/>
    <x v="0"/>
    <x v="0"/>
    <s v="Standard_F4s_v2"/>
    <s v="10.0.2.35"/>
    <s v="-"/>
    <n v="2"/>
    <x v="1"/>
    <s v="Azure Hybrid Benefit"/>
    <s v="SQL2008-WS2008R2"/>
  </r>
  <r>
    <s v="Inquisitor"/>
    <s v="Running"/>
    <x v="0"/>
    <x v="1"/>
    <s v="Standard_F8s_v2"/>
    <s v="10.0.2.60"/>
    <s v="-"/>
    <n v="3"/>
    <x v="1"/>
    <s v="Azure Hybrid Benefit"/>
    <s v="SQL2012-WS2012R2"/>
  </r>
  <r>
    <s v="Jaden"/>
    <s v="Running"/>
    <x v="0"/>
    <x v="1"/>
    <s v="Standard_D2s_v3"/>
    <s v="10.0.2.64"/>
    <s v="-"/>
    <n v="1"/>
    <x v="0"/>
    <s v="-"/>
    <s v="-"/>
  </r>
  <r>
    <s v="Jan"/>
    <s v="Running"/>
    <x v="0"/>
    <x v="1"/>
    <s v="Standard_F8s_v2"/>
    <s v="10.0.2.25"/>
    <s v="-"/>
    <n v="4"/>
    <x v="1"/>
    <s v="Azure Hybrid Benefit"/>
    <s v="SQL2014-WS2012R2"/>
  </r>
  <r>
    <s v="JAN-REST"/>
    <s v="Running"/>
    <x v="0"/>
    <x v="1"/>
    <s v="Standard_F8s_v2"/>
    <s v="10.1.0.5"/>
    <s v="20.110.134.23"/>
    <n v="4"/>
    <x v="0"/>
    <s v="-"/>
    <s v="-"/>
  </r>
  <r>
    <s v="Janus"/>
    <s v="Running"/>
    <x v="0"/>
    <x v="1"/>
    <s v="Standard_F2s_v2"/>
    <s v="10.0.2.43"/>
    <s v="-"/>
    <n v="1"/>
    <x v="0"/>
    <s v="-"/>
    <s v="-"/>
  </r>
  <r>
    <s v="Jarael"/>
    <s v="Running"/>
    <x v="0"/>
    <x v="1"/>
    <s v="Standard_D8s_v3"/>
    <s v="10.0.2.44"/>
    <s v="-"/>
    <n v="3"/>
    <x v="1"/>
    <s v="Azure Hybrid Benefit"/>
    <s v="SQL2012-WS2012R2"/>
  </r>
  <r>
    <s v="Jawa"/>
    <s v="Running"/>
    <x v="0"/>
    <x v="0"/>
    <s v="Standard_F4s_v2"/>
    <s v="10.0.2.30"/>
    <s v="-"/>
    <n v="1"/>
    <x v="0"/>
    <s v="-"/>
    <s v="-"/>
  </r>
  <r>
    <s v="Jerec"/>
    <s v="Running"/>
    <x v="0"/>
    <x v="1"/>
    <s v="Standard_F4s_v2"/>
    <s v="10.0.2.65"/>
    <s v="-"/>
    <n v="1"/>
    <x v="0"/>
    <s v="-"/>
    <s v="-"/>
  </r>
  <r>
    <s v="JOCLAD"/>
    <s v="Running"/>
    <x v="1"/>
    <x v="7"/>
    <s v="Standard_F4s_v2"/>
    <s v="10.0.1.10"/>
    <s v="-"/>
    <n v="1"/>
    <x v="0"/>
    <s v="-"/>
    <s v="-"/>
  </r>
  <r>
    <s v="JOCLAD-REST"/>
    <s v="Stopped (deallocated)"/>
    <x v="1"/>
    <x v="7"/>
    <s v="Standard_F4s_v2"/>
    <s v="10.1.0.49"/>
    <s v="20.122.141.238"/>
    <n v="1"/>
    <x v="0"/>
    <s v="-"/>
    <s v="-"/>
  </r>
  <r>
    <s v="JocladQA"/>
    <s v="Running"/>
    <x v="1"/>
    <x v="7"/>
    <s v="Standard_F4s_v2"/>
    <s v="10.0.4.5"/>
    <s v="-"/>
    <n v="1"/>
    <x v="0"/>
    <s v="-"/>
    <s v="-"/>
  </r>
  <r>
    <s v="JOELLE"/>
    <s v="Running"/>
    <x v="0"/>
    <x v="0"/>
    <s v="Standard_B4ms"/>
    <s v="10.0.2.53"/>
    <s v="-"/>
    <n v="3"/>
    <x v="0"/>
    <s v="-"/>
    <s v="-"/>
  </r>
  <r>
    <s v="joruus"/>
    <s v="Running"/>
    <x v="0"/>
    <x v="1"/>
    <s v="Standard_F8s_v2"/>
    <s v="10.0.2.95"/>
    <s v="-"/>
    <n v="10"/>
    <x v="1"/>
    <s v="Azure Hybrid Benefit"/>
    <s v="SQL2012-WS2012R2"/>
  </r>
  <r>
    <s v="K-Atom"/>
    <s v="Running"/>
    <x v="0"/>
    <x v="0"/>
    <s v="Standard_F4s_v2"/>
    <s v="10.0.2.6"/>
    <s v="-"/>
    <n v="2"/>
    <x v="1"/>
    <s v="Azure Hybrid Benefit"/>
    <s v="SQL2008R2-WS2008R2"/>
  </r>
  <r>
    <s v="KADANN"/>
    <s v="Stopped (deallocated)"/>
    <x v="0"/>
    <x v="1"/>
    <s v="Standard_F4s_v2"/>
    <s v="10.0.2.26"/>
    <s v="-"/>
    <n v="1"/>
    <x v="0"/>
    <s v="-"/>
    <s v="-"/>
  </r>
  <r>
    <s v="Karador"/>
    <s v="Stopped (deallocated)"/>
    <x v="0"/>
    <x v="1"/>
    <s v="Standard_D4_v3"/>
    <s v="10.0.4.17"/>
    <s v="-"/>
    <n v="6"/>
    <x v="1"/>
    <s v="Azure Hybrid Benefit"/>
    <s v="SQL2008R2-WS2008R2"/>
  </r>
  <r>
    <s v="KARNESS"/>
    <s v="Running"/>
    <x v="0"/>
    <x v="1"/>
    <s v="Standard_L4s"/>
    <s v="10.0.2.96"/>
    <s v="-"/>
    <n v="10"/>
    <x v="1"/>
    <s v="Azure Hybrid Benefit"/>
    <s v="SQL2012-WS2012R2"/>
  </r>
  <r>
    <s v="Leia"/>
    <s v="Running"/>
    <x v="0"/>
    <x v="1"/>
    <s v="Standard_F4s_v2"/>
    <s v="10.0.2.13"/>
    <s v="-"/>
    <n v="1"/>
    <x v="0"/>
    <s v="-"/>
    <s v="-"/>
  </r>
  <r>
    <s v="MAGNUS"/>
    <s v="Running"/>
    <x v="0"/>
    <x v="0"/>
    <s v="Standard_E4-2s_v3"/>
    <s v="10.0.2.99"/>
    <s v="-"/>
    <n v="6"/>
    <x v="1"/>
    <s v="Azure Hybrid Benefit"/>
    <s v="SQL2008R2-WS2008R2"/>
  </r>
  <r>
    <s v="Nordom"/>
    <s v="Running"/>
    <x v="0"/>
    <x v="0"/>
    <s v="Standard_F4s_v2"/>
    <s v="10.0.2.36"/>
    <s v="-"/>
    <n v="2"/>
    <x v="0"/>
    <s v="-"/>
    <s v="-"/>
  </r>
  <r>
    <s v="Orrelios"/>
    <s v="Running"/>
    <x v="0"/>
    <x v="6"/>
    <s v="Standard_F8s_v2"/>
    <s v="10.0.2.59"/>
    <s v="-"/>
    <n v="3"/>
    <x v="1"/>
    <s v="Azure Hybrid Benefit"/>
    <s v="SQL2016-WS2016"/>
  </r>
  <r>
    <s v="PADME"/>
    <s v="Running"/>
    <x v="1"/>
    <x v="7"/>
    <s v="Standard_F4s_v2"/>
    <s v="172.10.10.17"/>
    <s v="-"/>
    <n v="1"/>
    <x v="0"/>
    <s v="-"/>
    <s v="-"/>
  </r>
  <r>
    <s v="PADME"/>
    <s v="Running"/>
    <x v="1"/>
    <x v="7"/>
    <s v="Standard_F4s_v2"/>
    <s v="172.20.5.6"/>
    <s v="-"/>
    <n v="1"/>
    <x v="0"/>
    <s v="-"/>
    <s v="-"/>
  </r>
  <r>
    <s v="Rebel"/>
    <s v="Stopped (deallocated)"/>
    <x v="0"/>
    <x v="1"/>
    <s v="Standard_D2_v3"/>
    <s v="10.0.2.12"/>
    <s v="-"/>
    <n v="2"/>
    <x v="0"/>
    <s v="-"/>
    <s v="-"/>
  </r>
  <r>
    <s v="RestauracionesPrueba"/>
    <s v="Stopped (deallocated)"/>
    <x v="0"/>
    <x v="1"/>
    <s v="Standard_D4s_v3"/>
    <s v="10.1.0.4"/>
    <s v="-"/>
    <n v="1"/>
    <x v="0"/>
    <s v="-"/>
    <s v="-"/>
  </r>
  <r>
    <s v="S01ACH001"/>
    <s v="Running"/>
    <x v="0"/>
    <x v="1"/>
    <s v="Standard_F4s_v2"/>
    <s v="10.0.2.66"/>
    <s v="-"/>
    <n v="1"/>
    <x v="0"/>
    <s v="-"/>
    <s v="-"/>
  </r>
  <r>
    <s v="S01ACH002"/>
    <s v="Running"/>
    <x v="0"/>
    <x v="1"/>
    <s v="Standard_B2ms"/>
    <s v="10.0.2.67"/>
    <s v="-"/>
    <n v="1"/>
    <x v="0"/>
    <s v="-"/>
    <s v="-"/>
  </r>
  <r>
    <s v="S01DES001"/>
    <s v="Running"/>
    <x v="0"/>
    <x v="1"/>
    <s v="Standard_A2_v2"/>
    <s v="172.10.10.21"/>
    <s v="-"/>
    <n v="2"/>
    <x v="0"/>
    <s v="-"/>
    <s v="-"/>
  </r>
  <r>
    <s v="s01des003"/>
    <s v="Running"/>
    <x v="0"/>
    <x v="1"/>
    <s v="Standard_B2ms"/>
    <s v="10.0.4.31"/>
    <s v="-"/>
    <n v="2"/>
    <x v="0"/>
    <s v="-"/>
    <s v="-"/>
  </r>
  <r>
    <s v="s01des004"/>
    <s v="Running"/>
    <x v="0"/>
    <x v="1"/>
    <s v="Standard_A2_v2"/>
    <s v="10.0.4.32"/>
    <s v="-"/>
    <n v="2"/>
    <x v="1"/>
    <s v="Azure Hybrid Benefit"/>
    <s v="SQL2014-WS2012R2"/>
  </r>
  <r>
    <s v="S01DES007"/>
    <s v="Running"/>
    <x v="0"/>
    <x v="6"/>
    <s v="Standard_E4-2s_v3"/>
    <s v="172.10.10.14"/>
    <s v="-"/>
    <n v="3"/>
    <x v="1"/>
    <s v="Azure Hybrid Benefit"/>
    <s v="SQL2016-WS2016"/>
  </r>
  <r>
    <s v="S01DES008"/>
    <s v="Stopped (deallocated)"/>
    <x v="0"/>
    <x v="1"/>
    <s v="Standard_A2m_v2"/>
    <s v="172.10.10.13"/>
    <s v="-"/>
    <n v="2"/>
    <x v="0"/>
    <s v="-"/>
    <s v="-"/>
  </r>
  <r>
    <s v="S01GCE001"/>
    <s v="Stopped (deallocated)"/>
    <x v="0"/>
    <x v="1"/>
    <s v="Standard_D1_v2"/>
    <s v="10.0.2.11"/>
    <s v="-"/>
    <n v="1"/>
    <x v="0"/>
    <s v="-"/>
    <s v="-"/>
  </r>
  <r>
    <s v="S01PRD001"/>
    <s v="Running"/>
    <x v="0"/>
    <x v="1"/>
    <s v="Standard_F4s_v2"/>
    <s v="10.0.2.46"/>
    <s v="-"/>
    <n v="2"/>
    <x v="0"/>
    <s v="-"/>
    <s v="-"/>
  </r>
  <r>
    <s v="S01PRD003"/>
    <s v="Running"/>
    <x v="0"/>
    <x v="5"/>
    <s v="Standard_F8s_v2"/>
    <s v="10.0.2.38"/>
    <s v="-"/>
    <n v="1"/>
    <x v="1"/>
    <s v="Azure Hybrid Benefit"/>
    <s v="SQL2012-WS2012R2"/>
  </r>
  <r>
    <s v="S01PRD004"/>
    <s v="Stopped (deallocated)"/>
    <x v="0"/>
    <x v="1"/>
    <s v="Standard_B2ms"/>
    <s v="10.0.2.10"/>
    <s v="-"/>
    <n v="1"/>
    <x v="0"/>
    <s v="-"/>
    <s v="-"/>
  </r>
  <r>
    <s v="S01PRD005"/>
    <s v="Running"/>
    <x v="0"/>
    <x v="1"/>
    <s v="Standard_F2s_v2"/>
    <s v="10.0.2.5"/>
    <s v="-"/>
    <n v="1"/>
    <x v="0"/>
    <s v="-"/>
    <s v="-"/>
  </r>
  <r>
    <s v="S01PRD006"/>
    <s v="Running"/>
    <x v="0"/>
    <x v="1"/>
    <s v="Standard_D8s_v3"/>
    <s v="10.0.2.27"/>
    <s v="-"/>
    <n v="3"/>
    <x v="1"/>
    <s v="Azure Hybrid Benefit"/>
    <s v="SQL2012-WS2012R2"/>
  </r>
  <r>
    <s v="S01PRD009"/>
    <s v="Running"/>
    <x v="0"/>
    <x v="1"/>
    <s v="Standard_F8s_v2"/>
    <s v="10.0.2.39"/>
    <s v="-"/>
    <n v="1"/>
    <x v="0"/>
    <s v="-"/>
    <s v="-"/>
  </r>
  <r>
    <s v="S01PRD013"/>
    <s v="Running"/>
    <x v="0"/>
    <x v="1"/>
    <s v="Standard_B2s"/>
    <s v="10.0.2.16"/>
    <s v="-"/>
    <n v="2"/>
    <x v="0"/>
    <s v="-"/>
    <s v="-"/>
  </r>
  <r>
    <s v="S01PRD014"/>
    <s v="Running"/>
    <x v="0"/>
    <x v="1"/>
    <s v="Standard_B4ms"/>
    <s v="10.0.2.17"/>
    <s v="-"/>
    <n v="3"/>
    <x v="1"/>
    <s v="Azure Hybrid Benefit"/>
    <s v="SQL2012-WS2012R2"/>
  </r>
  <r>
    <s v="S01PRD019"/>
    <s v="Running"/>
    <x v="0"/>
    <x v="1"/>
    <s v="Standard_B2ms"/>
    <s v="10.0.2.78"/>
    <s v="-"/>
    <n v="2"/>
    <x v="0"/>
    <s v="-"/>
    <s v="-"/>
  </r>
  <r>
    <s v="S01PRD023"/>
    <s v="Running"/>
    <x v="0"/>
    <x v="1"/>
    <s v="Standard_B2s"/>
    <s v="10.0.2.70"/>
    <s v="-"/>
    <n v="1"/>
    <x v="0"/>
    <s v="-"/>
    <s v="-"/>
  </r>
  <r>
    <s v="S01PRD024"/>
    <s v="Running"/>
    <x v="0"/>
    <x v="1"/>
    <s v="Standard_F4"/>
    <s v="10.0.2.21"/>
    <s v="-"/>
    <n v="3"/>
    <x v="1"/>
    <s v="Azure Hybrid Benefit"/>
    <s v="SQL2014-WS2012R2"/>
  </r>
  <r>
    <s v="S01PRD026"/>
    <s v="Running"/>
    <x v="0"/>
    <x v="1"/>
    <s v="Standard_F4s_v2"/>
    <s v="10.0.2.50"/>
    <s v="-"/>
    <n v="1"/>
    <x v="0"/>
    <s v="-"/>
    <s v="-"/>
  </r>
  <r>
    <s v="S01PRD027"/>
    <s v="Running"/>
    <x v="0"/>
    <x v="1"/>
    <s v="Standard_D2_v2"/>
    <s v="10.0.2.49"/>
    <s v="-"/>
    <n v="2"/>
    <x v="0"/>
    <s v="-"/>
    <s v="-"/>
  </r>
  <r>
    <s v="S01PRD028"/>
    <s v="Running"/>
    <x v="0"/>
    <x v="6"/>
    <s v="Standard_F4s_v2"/>
    <s v="10.0.1.11"/>
    <s v="-"/>
    <n v="1"/>
    <x v="0"/>
    <s v="-"/>
    <s v="-"/>
  </r>
  <r>
    <s v="S01PRD030"/>
    <s v="Running"/>
    <x v="0"/>
    <x v="1"/>
    <s v="Standard_F4s_v2"/>
    <s v="10.0.2.32"/>
    <s v="-"/>
    <n v="2"/>
    <x v="0"/>
    <s v="-"/>
    <s v="-"/>
  </r>
  <r>
    <s v="S01PRD031"/>
    <s v="Running"/>
    <x v="0"/>
    <x v="6"/>
    <s v="Standard_F8s_v2"/>
    <s v="10.0.2.33"/>
    <s v="-"/>
    <n v="3"/>
    <x v="1"/>
    <s v="Azure Hybrid Benefit"/>
    <s v="SQL2016-WS2016"/>
  </r>
  <r>
    <s v="S01PRD032"/>
    <s v="Running"/>
    <x v="0"/>
    <x v="6"/>
    <s v="Standard_B2ms"/>
    <s v="10.0.2.89"/>
    <s v="-"/>
    <n v="2"/>
    <x v="0"/>
    <s v="-"/>
    <s v="-"/>
  </r>
  <r>
    <s v="S01PRD033"/>
    <s v="Running"/>
    <x v="0"/>
    <x v="6"/>
    <s v="Standard_D8s_v3"/>
    <s v="10.0.2.74"/>
    <s v="-"/>
    <n v="3"/>
    <x v="1"/>
    <s v="Azure Hybrid Benefit"/>
    <s v="SQL2016-WS2016"/>
  </r>
  <r>
    <s v="S01PRD034"/>
    <s v="Running"/>
    <x v="0"/>
    <x v="6"/>
    <s v="Standard_F4s_v2"/>
    <s v="10.0.1.12"/>
    <s v="-"/>
    <n v="1"/>
    <x v="0"/>
    <s v="-"/>
    <s v="-"/>
  </r>
  <r>
    <s v="S01PRD035"/>
    <s v="Running"/>
    <x v="0"/>
    <x v="6"/>
    <s v="Standard_F4s_v2"/>
    <s v="10.0.2.75"/>
    <s v="-"/>
    <n v="1"/>
    <x v="0"/>
    <s v="-"/>
    <s v="-"/>
  </r>
  <r>
    <s v="S01PRD037"/>
    <s v="Running"/>
    <x v="0"/>
    <x v="6"/>
    <s v="Standard_F8s_v2"/>
    <s v="10.0.2.71"/>
    <s v="-"/>
    <n v="3"/>
    <x v="1"/>
    <s v="Azure Hybrid Benefit"/>
    <s v="SQL2016-WS2016"/>
  </r>
  <r>
    <s v="S01PRD038"/>
    <s v="Running"/>
    <x v="0"/>
    <x v="6"/>
    <s v="Standard_F4"/>
    <s v="10.0.2.9"/>
    <s v="-"/>
    <n v="2"/>
    <x v="0"/>
    <s v="-"/>
    <s v="-"/>
  </r>
  <r>
    <s v="S01PRD039"/>
    <s v="Running"/>
    <x v="0"/>
    <x v="6"/>
    <s v="Standard_F4s_v2"/>
    <s v="10.0.2.22"/>
    <s v="-"/>
    <n v="2"/>
    <x v="0"/>
    <s v="-"/>
    <s v="-"/>
  </r>
  <r>
    <s v="S01PRD040"/>
    <s v="Running"/>
    <x v="0"/>
    <x v="6"/>
    <s v="Standard_B2s"/>
    <s v="10.0.2.69"/>
    <s v="-"/>
    <n v="1"/>
    <x v="0"/>
    <s v="-"/>
    <s v="-"/>
  </r>
  <r>
    <s v="S01PRD044"/>
    <s v="Running"/>
    <x v="0"/>
    <x v="6"/>
    <s v="Standard_B2ms"/>
    <s v="10.0.2.68"/>
    <s v="-"/>
    <n v="1"/>
    <x v="0"/>
    <s v="-"/>
    <s v="-"/>
  </r>
  <r>
    <s v="S01PRD046"/>
    <s v="Running"/>
    <x v="0"/>
    <x v="8"/>
    <s v="Standard_B4ms"/>
    <s v="10.0.2.8"/>
    <s v="-"/>
    <n v="2"/>
    <x v="0"/>
    <s v="-"/>
    <s v="-"/>
  </r>
  <r>
    <s v="S01QA003"/>
    <s v="Running"/>
    <x v="0"/>
    <x v="1"/>
    <s v="Standard_B2ms"/>
    <s v="10.0.4.35"/>
    <s v="-"/>
    <n v="2"/>
    <x v="0"/>
    <s v="-"/>
    <s v="-"/>
  </r>
  <r>
    <s v="s01qas001"/>
    <s v="Running"/>
    <x v="0"/>
    <x v="1"/>
    <s v="Standard_B2ms"/>
    <s v="10.0.4.37"/>
    <s v="-"/>
    <n v="1"/>
    <x v="0"/>
    <s v="-"/>
    <s v="-"/>
  </r>
  <r>
    <s v="s01qas002"/>
    <s v="Stopped (deallocated)"/>
    <x v="0"/>
    <x v="1"/>
    <s v="Standard_B2ms"/>
    <s v="10.0.4.23"/>
    <s v="-"/>
    <n v="1"/>
    <x v="0"/>
    <s v="-"/>
    <s v="-"/>
  </r>
  <r>
    <s v="S01QAS005"/>
    <s v="Stopped (deallocated)"/>
    <x v="0"/>
    <x v="1"/>
    <s v="Standard_D2s_v3"/>
    <s v="10.0.4.12"/>
    <s v="-"/>
    <n v="1"/>
    <x v="0"/>
    <s v="-"/>
    <s v="-"/>
  </r>
  <r>
    <s v="S01QAS006"/>
    <s v="Running"/>
    <x v="0"/>
    <x v="6"/>
    <s v="Standard_F8s_v2"/>
    <s v="10.0.4.4"/>
    <s v="-"/>
    <n v="3"/>
    <x v="1"/>
    <s v="Azure Hybrid Benefit"/>
    <s v="SQL2016-WS2016"/>
  </r>
  <r>
    <s v="S01QAS011"/>
    <s v="Stopped (deallocated)"/>
    <x v="0"/>
    <x v="6"/>
    <s v="Standard_A2m_v2"/>
    <s v="10.0.4.8"/>
    <s v="-"/>
    <n v="2"/>
    <x v="0"/>
    <s v="-"/>
    <s v="-"/>
  </r>
  <r>
    <s v="S01RPA001"/>
    <s v="Stopped (deallocated)"/>
    <x v="0"/>
    <x v="6"/>
    <s v="Standard_D2_v3"/>
    <s v="10.0.2.24"/>
    <s v="-"/>
    <n v="1"/>
    <x v="0"/>
    <s v="-"/>
    <s v="-"/>
  </r>
  <r>
    <s v="S02PRD001"/>
    <s v="Running"/>
    <x v="0"/>
    <x v="1"/>
    <s v="Standard_F8s_v2"/>
    <s v="10.0.2.58"/>
    <s v="-"/>
    <n v="2"/>
    <x v="0"/>
    <s v="-"/>
    <s v="-"/>
  </r>
  <r>
    <s v="S02PRD004"/>
    <s v="Running"/>
    <x v="0"/>
    <x v="1"/>
    <s v="Standard_D11_v2"/>
    <s v="10.0.2.72"/>
    <s v="-"/>
    <n v="4"/>
    <x v="0"/>
    <s v="-"/>
    <s v="-"/>
  </r>
  <r>
    <s v="S02PRD005"/>
    <s v="Running"/>
    <x v="0"/>
    <x v="1"/>
    <s v="Standard_E4-2s_v3"/>
    <s v="10.0.2.73"/>
    <s v="-"/>
    <n v="5"/>
    <x v="1"/>
    <s v="Azure Hybrid Benefit"/>
    <s v="SQL2014-WS2012R2"/>
  </r>
  <r>
    <s v="S02PRD006"/>
    <s v="Running"/>
    <x v="0"/>
    <x v="1"/>
    <s v="Standard_F8s_v2"/>
    <s v="10.0.2.51"/>
    <s v="-"/>
    <n v="3"/>
    <x v="1"/>
    <s v="Azure Hybrid Benefit"/>
    <s v="SQL2014-WS2012R2"/>
  </r>
  <r>
    <s v="S02PRD007"/>
    <s v="Running"/>
    <x v="0"/>
    <x v="1"/>
    <s v="Standard_F8s_v2"/>
    <s v="10.0.2.52"/>
    <s v="-"/>
    <n v="1"/>
    <x v="0"/>
    <s v="-"/>
    <s v="-"/>
  </r>
  <r>
    <s v="S02PRD009"/>
    <s v="Running"/>
    <x v="0"/>
    <x v="1"/>
    <s v="Standard_E2s_v3"/>
    <s v="10.0.2.56"/>
    <s v="-"/>
    <n v="4"/>
    <x v="0"/>
    <s v="-"/>
    <s v="-"/>
  </r>
  <r>
    <s v="S02PRD010"/>
    <s v="Running"/>
    <x v="0"/>
    <x v="1"/>
    <s v="Standard_D4s_v3"/>
    <s v="10.0.2.54"/>
    <s v="-"/>
    <n v="6"/>
    <x v="1"/>
    <s v="Azure Hybrid Benefit"/>
    <s v="SQL2014-WS2012R2"/>
  </r>
  <r>
    <s v="S11CLT002"/>
    <s v="Running"/>
    <x v="0"/>
    <x v="1"/>
    <s v="Standard_B2ms"/>
    <s v="172.10.10.16"/>
    <s v="-"/>
    <n v="1"/>
    <x v="0"/>
    <s v="-"/>
    <s v="-"/>
  </r>
  <r>
    <s v="S11CLT002"/>
    <s v="Stopped (deallocated)"/>
    <x v="0"/>
    <x v="1"/>
    <s v="Standard_B2ms"/>
    <s v="172.20.5.4"/>
    <s v="20.186.76.47"/>
    <n v="1"/>
    <x v="0"/>
    <s v="-"/>
    <s v="-"/>
  </r>
  <r>
    <s v="S11CLT004"/>
    <s v="Running"/>
    <x v="0"/>
    <x v="1"/>
    <s v="Standard_D4as_v4"/>
    <s v="172.20.5.7"/>
    <s v="52.179.209.204"/>
    <n v="1"/>
    <x v="0"/>
    <s v="-"/>
    <s v="-"/>
  </r>
  <r>
    <s v="S11DES001"/>
    <s v="Running"/>
    <x v="0"/>
    <x v="1"/>
    <s v="Standard_B2ms"/>
    <s v="172.10.10.5"/>
    <s v="-"/>
    <n v="2"/>
    <x v="1"/>
    <s v="Pay As You Go"/>
    <s v="SQL2016-WS2016"/>
  </r>
  <r>
    <s v="S11DES001"/>
    <s v="Stopped (deallocated)"/>
    <x v="0"/>
    <x v="1"/>
    <s v="Standard_B2ms"/>
    <s v="172.20.5.12"/>
    <s v="40.84.37.46"/>
    <n v="2"/>
    <x v="1"/>
    <s v="Pay As You Go"/>
    <s v="SQL2016-WS2016"/>
  </r>
  <r>
    <s v="S11DES002"/>
    <s v="Running"/>
    <x v="0"/>
    <x v="1"/>
    <s v="Standard_B2ms"/>
    <s v="172.10.10.10"/>
    <s v="-"/>
    <n v="1"/>
    <x v="0"/>
    <s v="-"/>
    <s v="-"/>
  </r>
  <r>
    <s v="S11DES002"/>
    <s v="Stopped (deallocated)"/>
    <x v="0"/>
    <x v="1"/>
    <s v="Standard_B2ms"/>
    <s v="172.20.5.14"/>
    <s v="52.251.51.107"/>
    <n v="1"/>
    <x v="0"/>
    <s v="-"/>
    <s v="-"/>
  </r>
  <r>
    <s v="S11DES003"/>
    <s v="Running"/>
    <x v="0"/>
    <x v="1"/>
    <s v="Standard_B2ms"/>
    <s v="172.10.10.11"/>
    <s v="-"/>
    <n v="2"/>
    <x v="1"/>
    <s v="Azure Hybrid Benefit"/>
    <s v="SQL2016-WS2016"/>
  </r>
  <r>
    <s v="S11DES003"/>
    <s v="Stopped (deallocated)"/>
    <x v="0"/>
    <x v="1"/>
    <s v="Standard_B2ms"/>
    <s v="172.20.5.15"/>
    <s v="52.251.35.49"/>
    <n v="2"/>
    <x v="1"/>
    <s v="Azure Hybrid Benefit"/>
    <s v="SQL2016-WS2016"/>
  </r>
  <r>
    <s v="S11DES004"/>
    <s v="Running"/>
    <x v="0"/>
    <x v="1"/>
    <s v="Standard_F8s_v2"/>
    <s v="172.10.10.12"/>
    <s v="20.122.145.57"/>
    <n v="3"/>
    <x v="1"/>
    <s v="Azure Hybrid Benefit"/>
    <s v="SQL2016-WS2016"/>
  </r>
  <r>
    <s v="S11DES004"/>
    <s v="Stopped (deallocated)"/>
    <x v="0"/>
    <x v="1"/>
    <s v="Standard_F8s_v2"/>
    <s v="172.20.5.18"/>
    <s v="52.247.15.109"/>
    <n v="3"/>
    <x v="1"/>
    <s v="Azure Hybrid Benefit"/>
    <s v="SQL2016-WS2016"/>
  </r>
  <r>
    <s v="S11DES005"/>
    <s v="Running"/>
    <x v="0"/>
    <x v="1"/>
    <s v="Standard_F8s_v2"/>
    <s v="172.10.10.9"/>
    <s v="-"/>
    <n v="3"/>
    <x v="1"/>
    <s v="Pay As You Go"/>
    <s v="SQL2016-WS2019"/>
  </r>
  <r>
    <s v="S11DES006"/>
    <s v="Stopped (deallocated)"/>
    <x v="0"/>
    <x v="8"/>
    <s v="Standard_B2s"/>
    <s v="172.10.10.20"/>
    <s v="-"/>
    <n v="2"/>
    <x v="0"/>
    <s v="-"/>
    <s v="-"/>
  </r>
  <r>
    <s v="S11DES011"/>
    <s v="Running"/>
    <x v="0"/>
    <x v="8"/>
    <s v="Standard_F4s_v2"/>
    <s v="172.10.10.7"/>
    <s v="-"/>
    <n v="3"/>
    <x v="1"/>
    <s v="Pay As You Go"/>
    <s v="SQL2017-WS2016"/>
  </r>
  <r>
    <s v="S11PRD002"/>
    <s v="Running"/>
    <x v="0"/>
    <x v="5"/>
    <s v="Standard_F4s_v2"/>
    <s v="10.0.2.90"/>
    <s v="-"/>
    <n v="1"/>
    <x v="0"/>
    <s v="-"/>
    <s v="-"/>
  </r>
  <r>
    <s v="S11PRD015"/>
    <s v="Running"/>
    <x v="0"/>
    <x v="8"/>
    <s v="Standard_D2s_v3"/>
    <s v="10.0.2.81"/>
    <s v="-"/>
    <n v="1"/>
    <x v="0"/>
    <s v="-"/>
    <s v="-"/>
  </r>
  <r>
    <s v="S11PRD016"/>
    <s v="Running"/>
    <x v="0"/>
    <x v="8"/>
    <s v="Standard_D2s_v3"/>
    <s v="10.0.2.82"/>
    <s v="-"/>
    <n v="1"/>
    <x v="0"/>
    <s v="-"/>
    <s v="-"/>
  </r>
  <r>
    <s v="S11PRD017"/>
    <s v="Running"/>
    <x v="0"/>
    <x v="8"/>
    <s v="Standard_D2s_v3"/>
    <s v="10.0.2.83"/>
    <s v="-"/>
    <n v="1"/>
    <x v="0"/>
    <s v="-"/>
    <s v="-"/>
  </r>
  <r>
    <s v="S11PRD018"/>
    <s v="Running"/>
    <x v="0"/>
    <x v="8"/>
    <s v="Standard_D2s_v3"/>
    <s v="10.0.2.84"/>
    <s v="-"/>
    <n v="1"/>
    <x v="0"/>
    <s v="-"/>
    <s v="-"/>
  </r>
  <r>
    <s v="S11PRD019"/>
    <s v="Running"/>
    <x v="0"/>
    <x v="9"/>
    <s v="Standard_D4s_v3"/>
    <s v="10.0.2.85"/>
    <s v="-"/>
    <n v="4"/>
    <x v="1"/>
    <s v="Pay As You Go"/>
    <s v="SQL2019-WS2019"/>
  </r>
  <r>
    <s v="S11PRD021"/>
    <s v="Running"/>
    <x v="0"/>
    <x v="8"/>
    <s v="Standard_D2s_v3"/>
    <s v="10.0.2.80"/>
    <s v="-"/>
    <n v="1"/>
    <x v="0"/>
    <s v="-"/>
    <s v="-"/>
  </r>
  <r>
    <s v="S11PRD023"/>
    <s v="Running"/>
    <x v="0"/>
    <x v="8"/>
    <s v="Standard_D11_v2"/>
    <s v="10.0.1.13"/>
    <s v="-"/>
    <n v="1"/>
    <x v="0"/>
    <s v="-"/>
    <s v="-"/>
  </r>
  <r>
    <s v="S11PRD024"/>
    <s v="Stopped (deallocated)"/>
    <x v="0"/>
    <x v="8"/>
    <s v="Standard_B2ms"/>
    <s v="10.0.2.91"/>
    <s v="-"/>
    <n v="1"/>
    <x v="0"/>
    <s v="-"/>
    <s v="-"/>
  </r>
  <r>
    <s v="S11PRD025"/>
    <s v="Running"/>
    <x v="0"/>
    <x v="8"/>
    <s v="Standard_B4ms"/>
    <s v="10.0.2.92"/>
    <s v="-"/>
    <n v="2"/>
    <x v="1"/>
    <s v="Pay As You Go"/>
    <s v="SQL2016-WS2016"/>
  </r>
  <r>
    <s v="S11PRD030"/>
    <s v="Running"/>
    <x v="0"/>
    <x v="8"/>
    <s v="Standard_B2ms"/>
    <s v="10.0.2.88"/>
    <s v="-"/>
    <n v="3"/>
    <x v="1"/>
    <s v="Pay As You Go"/>
    <s v="SQL2016-WS2016"/>
  </r>
  <r>
    <s v="S11PRD031"/>
    <s v="Running"/>
    <x v="0"/>
    <x v="8"/>
    <s v="Standard_F4s_v2"/>
    <s v="172.10.10.6"/>
    <s v="-"/>
    <n v="1"/>
    <x v="0"/>
    <s v="-"/>
    <s v="-"/>
  </r>
  <r>
    <s v="S11PRD031"/>
    <s v="Running"/>
    <x v="0"/>
    <x v="8"/>
    <s v="Standard_F4"/>
    <s v="10.0.2.4"/>
    <s v="-"/>
    <n v="1"/>
    <x v="0"/>
    <s v="-"/>
    <s v="-"/>
  </r>
  <r>
    <s v="S11PRD032"/>
    <s v="Running"/>
    <x v="0"/>
    <x v="8"/>
    <s v="Standard_B4ms"/>
    <s v="10.0.2.7"/>
    <s v="-"/>
    <n v="2"/>
    <x v="1"/>
    <s v="Pay As You Go"/>
    <s v="SQL2016-WS2016"/>
  </r>
  <r>
    <s v="S11PRD033"/>
    <s v="Stopped (deallocated)"/>
    <x v="0"/>
    <x v="8"/>
    <s v="Standard_D8s_v3"/>
    <s v="10.0.2.76"/>
    <s v="-"/>
    <n v="2"/>
    <x v="0"/>
    <s v="-"/>
    <s v="-"/>
  </r>
  <r>
    <s v="S11PRD034"/>
    <s v="Running"/>
    <x v="0"/>
    <x v="9"/>
    <s v="Standard_D4_v3"/>
    <s v="10.0.2.100"/>
    <s v="-"/>
    <n v="2"/>
    <x v="1"/>
    <s v="Pay As You Go"/>
    <s v="SQL2017-WS2019"/>
  </r>
  <r>
    <s v="S11PRD035"/>
    <s v="Running"/>
    <x v="0"/>
    <x v="8"/>
    <s v="Standard_F4s_v2"/>
    <s v="10.0.2.101"/>
    <s v="-"/>
    <n v="2"/>
    <x v="1"/>
    <s v="Pay As You Go"/>
    <s v="SQL2019-WS2016"/>
  </r>
  <r>
    <s v="S11prd036"/>
    <s v="Running"/>
    <x v="0"/>
    <x v="8"/>
    <s v="Standard_B4ms"/>
    <s v="10.0.2.102"/>
    <s v="-"/>
    <n v="1"/>
    <x v="0"/>
    <s v="-"/>
    <s v="-"/>
  </r>
  <r>
    <s v="S11PRD037"/>
    <s v="Running"/>
    <x v="0"/>
    <x v="8"/>
    <s v="Standard_D4s_v3"/>
    <s v="10.0.2.103"/>
    <s v="-"/>
    <n v="4"/>
    <x v="1"/>
    <s v="Pay As You Go"/>
    <s v="SQL2017-WS2016"/>
  </r>
  <r>
    <s v="S11PRD038"/>
    <s v="Running"/>
    <x v="0"/>
    <x v="8"/>
    <s v="Standard_F16s_v2"/>
    <s v="10.0.2.104"/>
    <s v="-"/>
    <n v="2"/>
    <x v="0"/>
    <s v="-"/>
    <s v="-"/>
  </r>
  <r>
    <s v="S11PRD039"/>
    <s v="Running"/>
    <x v="0"/>
    <x v="8"/>
    <s v="Standard_F8s"/>
    <s v="10.0.2.105"/>
    <s v="-"/>
    <n v="3"/>
    <x v="1"/>
    <s v="Pay As You Go"/>
    <s v="SQL2017-WS2016"/>
  </r>
  <r>
    <s v="S11PRD040"/>
    <s v="Running"/>
    <x v="0"/>
    <x v="8"/>
    <s v="Standard_D2s_v3"/>
    <s v="10.0.2.106"/>
    <s v="-"/>
    <n v="1"/>
    <x v="0"/>
    <s v="-"/>
    <s v="-"/>
  </r>
  <r>
    <s v="S11PRD041"/>
    <s v="Running"/>
    <x v="0"/>
    <x v="8"/>
    <s v="Standard_F8s_v2"/>
    <s v="10.0.2.109"/>
    <s v="-"/>
    <n v="1"/>
    <x v="0"/>
    <s v="-"/>
    <s v="-"/>
  </r>
  <r>
    <s v="S11PRD042"/>
    <s v="Running"/>
    <x v="0"/>
    <x v="9"/>
    <s v="Standard_D8s_v3"/>
    <s v="10.0.2.110"/>
    <s v="-"/>
    <n v="3"/>
    <x v="0"/>
    <s v="-"/>
    <s v="-"/>
  </r>
  <r>
    <s v="S11PRD043"/>
    <s v="Stopped (deallocated)"/>
    <x v="0"/>
    <x v="8"/>
    <s v="Standard_D8s_v3"/>
    <s v="10.0.2.98"/>
    <s v="-"/>
    <n v="2"/>
    <x v="0"/>
    <s v="-"/>
    <s v="-"/>
  </r>
  <r>
    <s v="S11PRD045"/>
    <s v="Running"/>
    <x v="0"/>
    <x v="9"/>
    <s v="Standard_B2s"/>
    <s v="10.0.2.77"/>
    <s v="-"/>
    <n v="1"/>
    <x v="0"/>
    <s v="-"/>
    <s v="-"/>
  </r>
  <r>
    <s v="S11PRD046"/>
    <s v="Running"/>
    <x v="0"/>
    <x v="9"/>
    <s v="Standard_E2s_v3"/>
    <s v="10.0.2.112"/>
    <s v="-"/>
    <n v="1"/>
    <x v="0"/>
    <s v="-"/>
    <s v="-"/>
  </r>
  <r>
    <s v="S11QA001"/>
    <s v="Running"/>
    <x v="0"/>
    <x v="8"/>
    <s v="Standard_B2s"/>
    <s v="10.0.4.6"/>
    <s v="-"/>
    <n v="1"/>
    <x v="0"/>
    <s v="-"/>
    <s v="-"/>
  </r>
  <r>
    <s v="S11QA002"/>
    <s v="Running"/>
    <x v="0"/>
    <x v="8"/>
    <s v="Standard_B2s"/>
    <s v="10.0.4.7"/>
    <s v="-"/>
    <n v="1"/>
    <x v="0"/>
    <s v="-"/>
    <s v="-"/>
  </r>
  <r>
    <s v="S11QA006"/>
    <s v="Running"/>
    <x v="0"/>
    <x v="8"/>
    <s v="Standard_B2s"/>
    <s v="10.0.4.14"/>
    <s v="-"/>
    <n v="1"/>
    <x v="0"/>
    <s v="-"/>
    <s v="-"/>
  </r>
  <r>
    <s v="S11QAS011"/>
    <s v="Running"/>
    <x v="0"/>
    <x v="8"/>
    <s v="Standard_F4s_v2"/>
    <s v="172.10.10.4"/>
    <s v="-"/>
    <n v="3"/>
    <x v="1"/>
    <s v="Pay As You Go"/>
    <s v="SQL2017-WS2016"/>
  </r>
  <r>
    <s v="S11QAS011"/>
    <s v="Running"/>
    <x v="0"/>
    <x v="8"/>
    <s v="Standard_F4s_v2"/>
    <s v="10.0.4.11"/>
    <s v="-"/>
    <n v="3"/>
    <x v="1"/>
    <s v="Pay As You Go"/>
    <s v="SQL2017-WS2016"/>
  </r>
  <r>
    <s v="S11QAS012"/>
    <s v="Running"/>
    <x v="0"/>
    <x v="8"/>
    <s v="Standard_F4s_v2"/>
    <s v="10.0.1.14"/>
    <s v="-"/>
    <n v="1"/>
    <x v="0"/>
    <s v="-"/>
    <s v="-"/>
  </r>
  <r>
    <s v="S11QAS013"/>
    <s v="Running"/>
    <x v="0"/>
    <x v="8"/>
    <s v="Standard_F4s_v2"/>
    <s v="10.0.1.15"/>
    <s v="-"/>
    <n v="1"/>
    <x v="0"/>
    <s v="-"/>
    <s v="-"/>
  </r>
  <r>
    <s v="S11QAS014"/>
    <s v="Running"/>
    <x v="0"/>
    <x v="8"/>
    <s v="Standard_F4s_v2"/>
    <s v="10.0.4.18"/>
    <s v="-"/>
    <n v="1"/>
    <x v="0"/>
    <s v="-"/>
    <s v="-"/>
  </r>
  <r>
    <s v="S11QAS015"/>
    <s v="Running"/>
    <x v="0"/>
    <x v="8"/>
    <s v="Standard_F8s_v2"/>
    <s v="10.0.4.19"/>
    <s v="-"/>
    <n v="3"/>
    <x v="1"/>
    <s v="Azure Hybrid Benefit"/>
    <s v="SQL2016-WS2016"/>
  </r>
  <r>
    <s v="S11QAS016"/>
    <s v="Running"/>
    <x v="0"/>
    <x v="8"/>
    <s v="Standard_B2s"/>
    <s v="10.0.4.20"/>
    <s v="-"/>
    <n v="1"/>
    <x v="0"/>
    <s v="-"/>
    <s v="-"/>
  </r>
  <r>
    <s v="S11QAS020"/>
    <s v="Running"/>
    <x v="0"/>
    <x v="8"/>
    <s v="Standard_B2ms"/>
    <s v="10.0.4.24"/>
    <s v="-"/>
    <n v="2"/>
    <x v="0"/>
    <s v="-"/>
    <s v="-"/>
  </r>
  <r>
    <s v="S11QAS021"/>
    <s v="Stopped (deallocated)"/>
    <x v="0"/>
    <x v="8"/>
    <s v="Standard_D8s_v3"/>
    <s v="10.0.4.25"/>
    <s v="-"/>
    <n v="3"/>
    <x v="1"/>
    <s v="Azure Hybrid Benefit"/>
    <s v="SQL2012-WS2012R2"/>
  </r>
  <r>
    <s v="S11QAS022"/>
    <s v="Running"/>
    <x v="0"/>
    <x v="8"/>
    <s v="Standard_D4s_v3"/>
    <s v="10.0.4.26"/>
    <s v="-"/>
    <n v="3"/>
    <x v="0"/>
    <s v="-"/>
    <s v="-"/>
  </r>
  <r>
    <s v="S11QAS023"/>
    <s v="Stopped (deallocated)"/>
    <x v="0"/>
    <x v="8"/>
    <s v="Standard_F8s_v2"/>
    <s v="10.0.4.33"/>
    <s v="-"/>
    <n v="3"/>
    <x v="1"/>
    <s v="Azure Hybrid Benefit"/>
    <s v="SQL2016-WS2016"/>
  </r>
  <r>
    <s v="S11QAS025"/>
    <s v="Stopped (deallocated)"/>
    <x v="0"/>
    <x v="8"/>
    <s v="Standard_F8s_v2"/>
    <s v="10.0.4.29"/>
    <s v="-"/>
    <n v="2"/>
    <x v="0"/>
    <s v="-"/>
    <s v="-"/>
  </r>
  <r>
    <s v="S11TPC004"/>
    <s v="Running"/>
    <x v="0"/>
    <x v="10"/>
    <s v="Standard_F4s_v2"/>
    <s v="192.168.1.7"/>
    <s v="52.254.77.13"/>
    <n v="1"/>
    <x v="0"/>
    <s v="-"/>
    <s v="-"/>
  </r>
  <r>
    <s v="S11TPC005"/>
    <s v="Running"/>
    <x v="0"/>
    <x v="10"/>
    <s v="Standard_F4s_v2"/>
    <s v="192.168.1.8"/>
    <s v="13.77.66.116"/>
    <n v="1"/>
    <x v="1"/>
    <s v="Pay As You Go"/>
    <s v="SQL2019-WS2019"/>
  </r>
  <r>
    <s v="S11TPC006"/>
    <s v="Running"/>
    <x v="0"/>
    <x v="10"/>
    <s v="Standard_F4s_v2"/>
    <s v="192.168.1.9"/>
    <s v="104.46.110.70"/>
    <n v="1"/>
    <x v="0"/>
    <s v="-"/>
    <s v="-"/>
  </r>
  <r>
    <s v="SENATOR"/>
    <s v="Running"/>
    <x v="0"/>
    <x v="1"/>
    <s v="Standard_F8s_v2"/>
    <s v="10.0.2.45"/>
    <s v="-"/>
    <n v="2"/>
    <x v="0"/>
    <s v="-"/>
    <s v="-"/>
  </r>
  <r>
    <s v="shado"/>
    <s v="Stopped (deallocated)"/>
    <x v="0"/>
    <x v="1"/>
    <s v="Standard_D4_v3"/>
    <s v="10.0.4.27"/>
    <s v="-"/>
    <n v="7"/>
    <x v="1"/>
    <s v="Azure Hybrid Benefit"/>
    <s v="SQL2012-WS2012R2"/>
  </r>
  <r>
    <s v="sio"/>
    <s v="Stopped (deallocated)"/>
    <x v="0"/>
    <x v="1"/>
    <s v="Standard_F8s_v2"/>
    <s v="10.0.2.79"/>
    <s v="-"/>
    <n v="1"/>
    <x v="0"/>
    <s v="-"/>
    <s v="-"/>
  </r>
  <r>
    <s v="SSQLCAL001"/>
    <s v="Running"/>
    <x v="0"/>
    <x v="1"/>
    <s v="Standard_F4s_v2"/>
    <s v="172.10.10.8"/>
    <s v="-"/>
    <n v="2"/>
    <x v="0"/>
    <s v="-"/>
    <s v="-"/>
  </r>
  <r>
    <s v="SUGI"/>
    <s v="Stopped (deallocated)"/>
    <x v="0"/>
    <x v="1"/>
    <s v="Standard_D4s_v3"/>
    <s v="10.0.4.39"/>
    <s v="-"/>
    <n v="7"/>
    <x v="1"/>
    <s v="Azure Hybrid Benefit"/>
    <s v="SQL2012-WS2012R2"/>
  </r>
  <r>
    <s v="Syndulla"/>
    <s v="Running"/>
    <x v="0"/>
    <x v="1"/>
    <s v="Standard_F4s_v2"/>
    <s v="10.0.2.37"/>
    <s v="-"/>
    <n v="2"/>
    <x v="0"/>
    <s v="-"/>
    <s v="-"/>
  </r>
  <r>
    <s v="TEEBO"/>
    <s v="Running"/>
    <x v="0"/>
    <x v="0"/>
    <s v="Standard_E2s_v3"/>
    <s v="10.0.2.14"/>
    <s v="-"/>
    <n v="3"/>
    <x v="0"/>
    <s v="-"/>
    <s v="-"/>
  </r>
  <r>
    <s v="Teneniel"/>
    <s v="Running"/>
    <x v="0"/>
    <x v="1"/>
    <s v="Standard_F8s_v2"/>
    <s v="10.0.2.40"/>
    <s v="-"/>
    <n v="4"/>
    <x v="1"/>
    <s v="Azure Hybrid Benefit"/>
    <s v="SQL2012-WS2012R2"/>
  </r>
  <r>
    <s v="tibor"/>
    <s v="Running"/>
    <x v="0"/>
    <x v="1"/>
    <s v="Standard_E4-2s_v3"/>
    <s v="10.0.4.28"/>
    <s v="-"/>
    <n v="6"/>
    <x v="1"/>
    <s v="Azure Hybrid Benefit"/>
    <s v="SQL2014-WS2012R2"/>
  </r>
  <r>
    <s v="Tills"/>
    <s v="Stopped (deallocated)"/>
    <x v="0"/>
    <x v="1"/>
    <s v="Standard_D2s_v3"/>
    <s v="10.0.4.9"/>
    <s v="-"/>
    <n v="2"/>
    <x v="0"/>
    <s v="-"/>
    <s v="-"/>
  </r>
  <r>
    <s v="Tiplee"/>
    <s v="Running"/>
    <x v="0"/>
    <x v="1"/>
    <s v="Standard_B2ms"/>
    <s v="10.0.2.48"/>
    <s v="-"/>
    <n v="2"/>
    <x v="0"/>
    <s v="-"/>
    <s v="-"/>
  </r>
  <r>
    <s v="TS1"/>
    <s v="Running"/>
    <x v="0"/>
    <x v="1"/>
    <s v="Standard_B4ms"/>
    <s v="10.0.2.57"/>
    <s v="-"/>
    <n v="1"/>
    <x v="0"/>
    <s v="-"/>
    <s v="-"/>
  </r>
  <r>
    <s v="VESTARA"/>
    <s v="Running"/>
    <x v="0"/>
    <x v="1"/>
    <s v="Standard_L4s"/>
    <s v="10.0.2.97"/>
    <s v="-"/>
    <n v="10"/>
    <x v="1"/>
    <s v="Azure Hybrid Benefit"/>
    <s v="SQL2012-WS2012R2"/>
  </r>
  <r>
    <s v="VM-WVDBICSA-0"/>
    <s v="Stopped (deallocated)"/>
    <x v="0"/>
    <x v="8"/>
    <s v="Standard_D8as_v4"/>
    <s v="10.0.3.16"/>
    <s v="-"/>
    <n v="1"/>
    <x v="0"/>
    <s v="-"/>
    <s v="-"/>
  </r>
  <r>
    <s v="VM-WVDBICSA-1"/>
    <s v="Running"/>
    <x v="0"/>
    <x v="8"/>
    <s v="Standard_D8as_v4"/>
    <s v="10.0.3.5"/>
    <s v="-"/>
    <n v="1"/>
    <x v="0"/>
    <s v="-"/>
    <s v="-"/>
  </r>
  <r>
    <s v="walon"/>
    <s v="Stopped (deallocated)"/>
    <x v="0"/>
    <x v="1"/>
    <s v="Standard_E4-2s_v3"/>
    <s v="10.0.4.30"/>
    <s v="-"/>
    <n v="7"/>
    <x v="1"/>
    <s v="Azure Hybrid Benefit"/>
    <s v="SQL2012-WS2012R2"/>
  </r>
  <r>
    <s v="WVD-BIC-ACH-0"/>
    <s v="Stopped (deallocated)"/>
    <x v="0"/>
    <x v="8"/>
    <s v="Standard_B2ms"/>
    <s v="10.0.3.6"/>
    <s v="-"/>
    <n v="1"/>
    <x v="0"/>
    <s v="-"/>
    <s v="-"/>
  </r>
  <r>
    <s v="WVD-BIC-SWF-0"/>
    <s v="Stopped (deallocated)"/>
    <x v="0"/>
    <x v="8"/>
    <s v="Standard_B2ms"/>
    <s v="10.0.3.7"/>
    <s v="-"/>
    <n v="1"/>
    <x v="0"/>
    <s v="-"/>
    <s v="-"/>
  </r>
  <r>
    <s v="WVD-BICSA-0"/>
    <s v="Running"/>
    <x v="0"/>
    <x v="11"/>
    <s v="Standard_D4s_v3"/>
    <s v="10.0.3.10"/>
    <s v="-"/>
    <n v="1"/>
    <x v="0"/>
    <s v="-"/>
    <s v="-"/>
  </r>
  <r>
    <s v="WVD-BICSA-1"/>
    <s v="Running"/>
    <x v="0"/>
    <x v="11"/>
    <s v="Standard_D4s_v3"/>
    <s v="10.0.3.9"/>
    <s v="-"/>
    <n v="1"/>
    <x v="0"/>
    <s v="-"/>
    <s v="-"/>
  </r>
  <r>
    <s v="WVD-BICSABT-0"/>
    <s v="Running"/>
    <x v="0"/>
    <x v="11"/>
    <s v="Standard_D2s_v3"/>
    <s v="10.0.3.4"/>
    <s v="-"/>
    <n v="1"/>
    <x v="0"/>
    <s v="-"/>
    <s v="-"/>
  </r>
  <r>
    <s v="WVD-BICSAPA-0"/>
    <s v="Running"/>
    <x v="0"/>
    <x v="11"/>
    <s v="Standard_D8ds_v4"/>
    <s v="10.0.3.11"/>
    <s v="-"/>
    <n v="1"/>
    <x v="0"/>
    <s v="-"/>
    <s v="-"/>
  </r>
  <r>
    <s v="WVD-BICSAPA-1"/>
    <s v="Running"/>
    <x v="0"/>
    <x v="11"/>
    <s v="Standard_D8ds_v4"/>
    <s v="10.0.3.12"/>
    <s v="-"/>
    <n v="1"/>
    <x v="0"/>
    <s v="-"/>
    <s v="-"/>
  </r>
  <r>
    <s v="WVD-BICSAQA-0"/>
    <s v="Stopped (deallocated)"/>
    <x v="0"/>
    <x v="11"/>
    <s v="Standard_D4s_v4"/>
    <s v="10.0.3.8"/>
    <s v="-"/>
    <n v="1"/>
    <x v="0"/>
    <s v="-"/>
    <s v="-"/>
  </r>
  <r>
    <s v="WVD-EXTERNO-1"/>
    <s v="Running"/>
    <x v="0"/>
    <x v="11"/>
    <s v="Standard_D2s_v3"/>
    <s v="10.0.3.13"/>
    <s v="-"/>
    <n v="1"/>
    <x v="0"/>
    <s v="-"/>
    <s v="-"/>
  </r>
  <r>
    <s v="Wyrpuuk"/>
    <s v="Stopped (deallocated)"/>
    <x v="0"/>
    <x v="8"/>
    <s v="Standard_D4_v3"/>
    <s v="10.0.4.16"/>
    <s v="-"/>
    <n v="7"/>
    <x v="1"/>
    <s v="Azure Hybrid Benefit"/>
    <s v="SQL2012-WS2012R2"/>
  </r>
  <r>
    <s v="Zuckuss"/>
    <s v="Stopped (deallocated)"/>
    <x v="0"/>
    <x v="8"/>
    <s v="Standard_DS11-1_v2"/>
    <s v="10.0.4.21"/>
    <s v="-"/>
    <n v="7"/>
    <x v="1"/>
    <s v="Azure Hybrid Benefit"/>
    <s v="SQL2012-WS2012R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istema Operativo">
  <location ref="A3:B6" firstHeaderRow="1" firstDataRow="1" firstDataCol="1"/>
  <pivotFields count="11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QL">
  <location ref="D3:E6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ipo de Sistema Operativo">
  <location ref="A8:B21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13">
        <item x="2"/>
        <item x="3"/>
        <item x="4"/>
        <item x="11"/>
        <item x="10"/>
        <item x="0"/>
        <item x="5"/>
        <item x="1"/>
        <item x="8"/>
        <item x="6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89" totalsRowShown="0">
  <tableColumns count="11">
    <tableColumn id="1" xr3:uid="{00000000-0010-0000-0000-000001000000}" name="NAME"/>
    <tableColumn id="2" xr3:uid="{00000000-0010-0000-0000-000002000000}" name="STATUS"/>
    <tableColumn id="3" xr3:uid="{00000000-0010-0000-0000-000003000000}" name="OPERATING SYSTEM"/>
    <tableColumn id="11" xr3:uid="{00000000-0010-0000-0000-00000B000000}" name="Operativo"/>
    <tableColumn id="4" xr3:uid="{00000000-0010-0000-0000-000004000000}" name="SIZE"/>
    <tableColumn id="5" xr3:uid="{00000000-0010-0000-0000-000005000000}" name="PRIVATE IP ADDRESS"/>
    <tableColumn id="6" xr3:uid="{00000000-0010-0000-0000-000006000000}" name="PUBLIC IP ADDRESS"/>
    <tableColumn id="7" xr3:uid="{00000000-0010-0000-0000-000007000000}" name="DISKS"/>
    <tableColumn id="8" xr3:uid="{00000000-0010-0000-0000-000008000000}" name="SQL" dataDxfId="2">
      <calculatedColumnFormula>VLOOKUP(Table1[[#This Row],[NAME]],Table13[#All],2,FALSE)</calculatedColumnFormula>
    </tableColumn>
    <tableColumn id="9" xr3:uid="{00000000-0010-0000-0000-000009000000}" name="Licenciamiento" dataDxfId="1">
      <calculatedColumnFormula>VLOOKUP(Table1[[#This Row],[NAME]],Table13[#All],4,FALSE)</calculatedColumnFormula>
    </tableColumn>
    <tableColumn id="10" xr3:uid="{00000000-0010-0000-0000-00000A000000}" name="Version" dataDxfId="0">
      <calculatedColumnFormula>VLOOKUP(Table1[[#This Row],[NAME]],Table13[#All],5,FALSE)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H62" totalsRowShown="0">
  <autoFilter ref="A1:H62" xr:uid="{00000000-0009-0000-0100-000002000000}"/>
  <tableColumns count="8">
    <tableColumn id="1" xr3:uid="{00000000-0010-0000-0100-000001000000}" name="NAME"/>
    <tableColumn id="8" xr3:uid="{00000000-0010-0000-0100-000008000000}" name="SQL"/>
    <tableColumn id="2" xr3:uid="{00000000-0010-0000-0100-000002000000}" name="RESOURCE GROUP"/>
    <tableColumn id="3" xr3:uid="{00000000-0010-0000-0100-000003000000}" name="LICENSE TYPE"/>
    <tableColumn id="4" xr3:uid="{00000000-0010-0000-0100-000004000000}" name="VERSION"/>
    <tableColumn id="5" xr3:uid="{00000000-0010-0000-0100-000005000000}" name="EDITION"/>
    <tableColumn id="6" xr3:uid="{00000000-0010-0000-0100-000006000000}" name="LOCATION"/>
    <tableColumn id="7" xr3:uid="{00000000-0010-0000-0100-000007000000}" name="SUB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showGridLines="0" topLeftCell="A2" workbookViewId="0"/>
  </sheetViews>
  <sheetFormatPr baseColWidth="10" defaultColWidth="9.140625" defaultRowHeight="15" x14ac:dyDescent="0.25"/>
  <cols>
    <col min="1" max="1" width="14.85546875" customWidth="1"/>
    <col min="2" max="2" width="19" bestFit="1" customWidth="1"/>
    <col min="3" max="3" width="25.42578125" customWidth="1"/>
    <col min="4" max="4" width="40.5703125" bestFit="1" customWidth="1"/>
    <col min="5" max="5" width="18.140625" bestFit="1" customWidth="1"/>
    <col min="6" max="6" width="20.42578125" customWidth="1"/>
    <col min="7" max="7" width="19.28515625" customWidth="1"/>
    <col min="9" max="9" width="6.42578125" bestFit="1" customWidth="1"/>
    <col min="10" max="10" width="17.7109375" bestFit="1" customWidth="1"/>
    <col min="11" max="11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538</v>
      </c>
      <c r="E1" t="s">
        <v>3</v>
      </c>
      <c r="F1" t="s">
        <v>4</v>
      </c>
      <c r="G1" t="s">
        <v>5</v>
      </c>
      <c r="H1" t="s">
        <v>6</v>
      </c>
      <c r="I1" t="s">
        <v>534</v>
      </c>
      <c r="J1" t="s">
        <v>536</v>
      </c>
      <c r="K1" t="s">
        <v>537</v>
      </c>
    </row>
    <row r="2" spans="1:11" x14ac:dyDescent="0.25">
      <c r="A2" t="s">
        <v>7</v>
      </c>
      <c r="B2" t="s">
        <v>8</v>
      </c>
      <c r="C2" t="s">
        <v>9</v>
      </c>
      <c r="D2" t="s">
        <v>542</v>
      </c>
      <c r="E2" t="s">
        <v>10</v>
      </c>
      <c r="F2" t="s">
        <v>11</v>
      </c>
      <c r="G2" t="s">
        <v>12</v>
      </c>
      <c r="H2">
        <v>1</v>
      </c>
      <c r="I2" s="1" t="s">
        <v>12</v>
      </c>
      <c r="J2" s="1" t="s">
        <v>12</v>
      </c>
      <c r="K2" s="1" t="s">
        <v>12</v>
      </c>
    </row>
    <row r="3" spans="1:11" x14ac:dyDescent="0.25">
      <c r="A3" t="s">
        <v>13</v>
      </c>
      <c r="B3" t="s">
        <v>14</v>
      </c>
      <c r="C3" t="s">
        <v>9</v>
      </c>
      <c r="D3" t="s">
        <v>542</v>
      </c>
      <c r="E3" t="s">
        <v>15</v>
      </c>
      <c r="F3" t="s">
        <v>16</v>
      </c>
      <c r="G3" t="s">
        <v>12</v>
      </c>
      <c r="H3">
        <v>6</v>
      </c>
      <c r="I3" s="1" t="s">
        <v>12</v>
      </c>
      <c r="J3" s="1" t="s">
        <v>12</v>
      </c>
      <c r="K3" s="1" t="s">
        <v>12</v>
      </c>
    </row>
    <row r="4" spans="1:11" x14ac:dyDescent="0.25">
      <c r="A4" t="s">
        <v>17</v>
      </c>
      <c r="B4" t="s">
        <v>8</v>
      </c>
      <c r="C4" t="s">
        <v>9</v>
      </c>
      <c r="D4" t="s">
        <v>542</v>
      </c>
      <c r="E4" t="s">
        <v>18</v>
      </c>
      <c r="F4" t="s">
        <v>19</v>
      </c>
      <c r="G4" t="s">
        <v>12</v>
      </c>
      <c r="H4">
        <v>6</v>
      </c>
      <c r="I4" s="1" t="s">
        <v>12</v>
      </c>
      <c r="J4" s="1" t="s">
        <v>12</v>
      </c>
      <c r="K4" s="1" t="s">
        <v>12</v>
      </c>
    </row>
    <row r="5" spans="1:11" x14ac:dyDescent="0.25">
      <c r="A5" t="s">
        <v>20</v>
      </c>
      <c r="B5" t="s">
        <v>8</v>
      </c>
      <c r="C5" t="s">
        <v>9</v>
      </c>
      <c r="D5" t="s">
        <v>542</v>
      </c>
      <c r="E5" t="s">
        <v>21</v>
      </c>
      <c r="F5" t="s">
        <v>22</v>
      </c>
      <c r="G5" t="s">
        <v>12</v>
      </c>
      <c r="H5">
        <v>9</v>
      </c>
      <c r="I5" t="str">
        <f>VLOOKUP(Table1[[#This Row],[NAME]],Table13[#All],2,FALSE)</f>
        <v>Si</v>
      </c>
      <c r="J5" t="str">
        <f>VLOOKUP(Table1[[#This Row],[NAME]],Table13[#All],4,FALSE)</f>
        <v>Azure Hybrid Benefit</v>
      </c>
      <c r="K5" t="str">
        <f>VLOOKUP(Table1[[#This Row],[NAME]],Table13[#All],5,FALSE)</f>
        <v>SQL2008-WS2008</v>
      </c>
    </row>
    <row r="6" spans="1:11" x14ac:dyDescent="0.25">
      <c r="A6" t="s">
        <v>23</v>
      </c>
      <c r="B6" t="s">
        <v>8</v>
      </c>
      <c r="C6" t="s">
        <v>9</v>
      </c>
      <c r="D6" t="s">
        <v>541</v>
      </c>
      <c r="E6" t="s">
        <v>15</v>
      </c>
      <c r="F6" t="s">
        <v>24</v>
      </c>
      <c r="G6" t="s">
        <v>12</v>
      </c>
      <c r="H6">
        <v>6</v>
      </c>
      <c r="I6" t="str">
        <f>VLOOKUP(Table1[[#This Row],[NAME]],Table13[#All],2,FALSE)</f>
        <v>Si</v>
      </c>
      <c r="J6" t="str">
        <f>VLOOKUP(Table1[[#This Row],[NAME]],Table13[#All],4,FALSE)</f>
        <v>Azure Hybrid Benefit</v>
      </c>
      <c r="K6" t="str">
        <f>VLOOKUP(Table1[[#This Row],[NAME]],Table13[#All],5,FALSE)</f>
        <v>SQL2014-WS2012R2</v>
      </c>
    </row>
    <row r="7" spans="1:11" x14ac:dyDescent="0.25">
      <c r="A7" t="s">
        <v>25</v>
      </c>
      <c r="B7" t="s">
        <v>14</v>
      </c>
      <c r="C7" t="s">
        <v>9</v>
      </c>
      <c r="D7" t="s">
        <v>541</v>
      </c>
      <c r="E7" t="s">
        <v>21</v>
      </c>
      <c r="F7" t="s">
        <v>26</v>
      </c>
      <c r="G7" t="s">
        <v>12</v>
      </c>
      <c r="H7">
        <v>7</v>
      </c>
      <c r="I7" t="str">
        <f>VLOOKUP(Table1[[#This Row],[NAME]],Table13[#All],2,FALSE)</f>
        <v>Si</v>
      </c>
      <c r="J7" t="str">
        <f>VLOOKUP(Table1[[#This Row],[NAME]],Table13[#All],4,FALSE)</f>
        <v>Azure Hybrid Benefit</v>
      </c>
      <c r="K7" t="str">
        <f>VLOOKUP(Table1[[#This Row],[NAME]],Table13[#All],5,FALSE)</f>
        <v>SQL2012-WS2012R2</v>
      </c>
    </row>
    <row r="8" spans="1:11" x14ac:dyDescent="0.25">
      <c r="A8" t="s">
        <v>27</v>
      </c>
      <c r="B8" t="s">
        <v>8</v>
      </c>
      <c r="C8" t="s">
        <v>28</v>
      </c>
      <c r="D8" t="s">
        <v>539</v>
      </c>
      <c r="E8" t="s">
        <v>29</v>
      </c>
      <c r="F8" t="s">
        <v>30</v>
      </c>
      <c r="G8" t="s">
        <v>12</v>
      </c>
      <c r="H8">
        <v>2</v>
      </c>
      <c r="I8" s="1" t="s">
        <v>12</v>
      </c>
      <c r="J8" s="1" t="s">
        <v>12</v>
      </c>
      <c r="K8" s="1" t="s">
        <v>12</v>
      </c>
    </row>
    <row r="9" spans="1:11" x14ac:dyDescent="0.25">
      <c r="A9" t="s">
        <v>31</v>
      </c>
      <c r="B9" t="s">
        <v>8</v>
      </c>
      <c r="C9" t="s">
        <v>28</v>
      </c>
      <c r="D9" t="s">
        <v>549</v>
      </c>
      <c r="E9" t="s">
        <v>32</v>
      </c>
      <c r="F9" t="s">
        <v>33</v>
      </c>
      <c r="G9" t="s">
        <v>12</v>
      </c>
      <c r="H9">
        <v>2</v>
      </c>
      <c r="I9" s="1" t="s">
        <v>12</v>
      </c>
      <c r="J9" s="1" t="s">
        <v>12</v>
      </c>
      <c r="K9" s="1" t="s">
        <v>12</v>
      </c>
    </row>
    <row r="10" spans="1:11" x14ac:dyDescent="0.25">
      <c r="A10" t="s">
        <v>34</v>
      </c>
      <c r="B10" t="s">
        <v>8</v>
      </c>
      <c r="C10" t="s">
        <v>28</v>
      </c>
      <c r="D10" t="s">
        <v>540</v>
      </c>
      <c r="E10" t="s">
        <v>35</v>
      </c>
      <c r="F10" t="s">
        <v>36</v>
      </c>
      <c r="G10" t="s">
        <v>37</v>
      </c>
      <c r="H10">
        <v>1</v>
      </c>
      <c r="I10" s="1" t="s">
        <v>12</v>
      </c>
      <c r="J10" s="1" t="s">
        <v>12</v>
      </c>
      <c r="K10" s="1" t="s">
        <v>12</v>
      </c>
    </row>
    <row r="11" spans="1:11" x14ac:dyDescent="0.25">
      <c r="A11" t="s">
        <v>38</v>
      </c>
      <c r="B11" t="s">
        <v>8</v>
      </c>
      <c r="C11" t="s">
        <v>28</v>
      </c>
      <c r="D11" t="s">
        <v>549</v>
      </c>
      <c r="E11" t="s">
        <v>35</v>
      </c>
      <c r="F11" t="s">
        <v>39</v>
      </c>
      <c r="G11" t="s">
        <v>12</v>
      </c>
      <c r="H11">
        <v>1</v>
      </c>
      <c r="I11" s="1" t="s">
        <v>12</v>
      </c>
      <c r="J11" s="1" t="s">
        <v>12</v>
      </c>
      <c r="K11" s="1" t="s">
        <v>12</v>
      </c>
    </row>
    <row r="12" spans="1:11" x14ac:dyDescent="0.25">
      <c r="A12" t="s">
        <v>40</v>
      </c>
      <c r="B12" t="s">
        <v>8</v>
      </c>
      <c r="C12" t="s">
        <v>9</v>
      </c>
      <c r="D12" t="s">
        <v>541</v>
      </c>
      <c r="E12" t="s">
        <v>18</v>
      </c>
      <c r="F12" t="s">
        <v>41</v>
      </c>
      <c r="G12" t="s">
        <v>12</v>
      </c>
      <c r="H12">
        <v>1</v>
      </c>
      <c r="I12" s="1" t="s">
        <v>12</v>
      </c>
      <c r="J12" s="1" t="s">
        <v>12</v>
      </c>
      <c r="K12" s="1" t="s">
        <v>12</v>
      </c>
    </row>
    <row r="13" spans="1:11" x14ac:dyDescent="0.25">
      <c r="A13" t="s">
        <v>42</v>
      </c>
      <c r="B13" t="s">
        <v>8</v>
      </c>
      <c r="C13" t="s">
        <v>9</v>
      </c>
      <c r="D13" t="s">
        <v>541</v>
      </c>
      <c r="E13" t="s">
        <v>10</v>
      </c>
      <c r="F13" t="s">
        <v>43</v>
      </c>
      <c r="G13" t="s">
        <v>12</v>
      </c>
      <c r="H13">
        <v>2</v>
      </c>
      <c r="I13" s="1" t="s">
        <v>12</v>
      </c>
      <c r="J13" s="1" t="s">
        <v>12</v>
      </c>
      <c r="K13" s="1" t="s">
        <v>12</v>
      </c>
    </row>
    <row r="14" spans="1:11" x14ac:dyDescent="0.25">
      <c r="A14" t="s">
        <v>44</v>
      </c>
      <c r="B14" t="s">
        <v>8</v>
      </c>
      <c r="C14" t="s">
        <v>9</v>
      </c>
      <c r="D14" t="s">
        <v>541</v>
      </c>
      <c r="E14" t="s">
        <v>45</v>
      </c>
      <c r="F14" t="s">
        <v>46</v>
      </c>
      <c r="G14" t="s">
        <v>12</v>
      </c>
      <c r="H14">
        <v>3</v>
      </c>
      <c r="I14" t="str">
        <f>VLOOKUP(Table1[[#This Row],[NAME]],Table13[#All],2,FALSE)</f>
        <v>Si</v>
      </c>
      <c r="J14" t="str">
        <f>VLOOKUP(Table1[[#This Row],[NAME]],Table13[#All],4,FALSE)</f>
        <v>Azure Hybrid Benefit</v>
      </c>
      <c r="K14" t="str">
        <f>VLOOKUP(Table1[[#This Row],[NAME]],Table13[#All],5,FALSE)</f>
        <v>SQL2012-WS2012R2</v>
      </c>
    </row>
    <row r="15" spans="1:11" x14ac:dyDescent="0.25">
      <c r="A15" t="s">
        <v>47</v>
      </c>
      <c r="B15" t="s">
        <v>8</v>
      </c>
      <c r="C15" t="s">
        <v>9</v>
      </c>
      <c r="D15" t="s">
        <v>542</v>
      </c>
      <c r="E15" t="s">
        <v>18</v>
      </c>
      <c r="F15" t="s">
        <v>48</v>
      </c>
      <c r="G15" t="s">
        <v>12</v>
      </c>
      <c r="H15">
        <v>2</v>
      </c>
      <c r="I15" t="str">
        <f>VLOOKUP(Table1[[#This Row],[NAME]],Table13[#All],2,FALSE)</f>
        <v>Si</v>
      </c>
      <c r="J15" t="str">
        <f>VLOOKUP(Table1[[#This Row],[NAME]],Table13[#All],4,FALSE)</f>
        <v>Azure Hybrid Benefit</v>
      </c>
      <c r="K15" t="str">
        <f>VLOOKUP(Table1[[#This Row],[NAME]],Table13[#All],5,FALSE)</f>
        <v>SQL2008R2-WS2008R2</v>
      </c>
    </row>
    <row r="16" spans="1:11" x14ac:dyDescent="0.25">
      <c r="A16" t="s">
        <v>49</v>
      </c>
      <c r="B16" t="s">
        <v>14</v>
      </c>
      <c r="C16" t="s">
        <v>9</v>
      </c>
      <c r="D16" t="s">
        <v>541</v>
      </c>
      <c r="E16" t="s">
        <v>50</v>
      </c>
      <c r="F16" t="s">
        <v>51</v>
      </c>
      <c r="G16" t="s">
        <v>12</v>
      </c>
      <c r="H16">
        <v>2</v>
      </c>
      <c r="I16" t="str">
        <f>VLOOKUP(Table1[[#This Row],[NAME]],Table13[#All],2,FALSE)</f>
        <v>Si</v>
      </c>
      <c r="J16" t="str">
        <f>VLOOKUP(Table1[[#This Row],[NAME]],Table13[#All],4,FALSE)</f>
        <v>Azure Hybrid Benefit</v>
      </c>
      <c r="K16" t="str">
        <f>VLOOKUP(Table1[[#This Row],[NAME]],Table13[#All],5,FALSE)</f>
        <v>SQL2012-WS2012R2</v>
      </c>
    </row>
    <row r="17" spans="1:11" x14ac:dyDescent="0.25">
      <c r="A17" t="s">
        <v>52</v>
      </c>
      <c r="B17" t="s">
        <v>8</v>
      </c>
      <c r="C17" t="s">
        <v>9</v>
      </c>
      <c r="D17" t="s">
        <v>542</v>
      </c>
      <c r="E17" t="s">
        <v>10</v>
      </c>
      <c r="F17" t="s">
        <v>53</v>
      </c>
      <c r="G17" t="s">
        <v>12</v>
      </c>
      <c r="H17">
        <v>1</v>
      </c>
      <c r="I17" s="1" t="s">
        <v>12</v>
      </c>
      <c r="J17" s="1" t="s">
        <v>12</v>
      </c>
      <c r="K17" s="1" t="s">
        <v>12</v>
      </c>
    </row>
    <row r="18" spans="1:11" x14ac:dyDescent="0.25">
      <c r="A18" t="s">
        <v>54</v>
      </c>
      <c r="B18" t="s">
        <v>8</v>
      </c>
      <c r="C18" t="s">
        <v>9</v>
      </c>
      <c r="D18" t="s">
        <v>543</v>
      </c>
      <c r="E18" t="s">
        <v>50</v>
      </c>
      <c r="F18" t="s">
        <v>55</v>
      </c>
      <c r="G18" t="s">
        <v>12</v>
      </c>
      <c r="H18">
        <v>1</v>
      </c>
      <c r="I18" t="str">
        <f>VLOOKUP(Table1[[#This Row],[NAME]],Table13[#All],2,FALSE)</f>
        <v>Si</v>
      </c>
      <c r="J18" t="str">
        <f>VLOOKUP(Table1[[#This Row],[NAME]],Table13[#All],4,FALSE)</f>
        <v>Azure Hybrid Benefit</v>
      </c>
      <c r="K18" t="str">
        <f>VLOOKUP(Table1[[#This Row],[NAME]],Table13[#All],5,FALSE)</f>
        <v>SQL2012-WS2012R2</v>
      </c>
    </row>
    <row r="19" spans="1:11" x14ac:dyDescent="0.25">
      <c r="A19" t="s">
        <v>56</v>
      </c>
      <c r="B19" t="s">
        <v>8</v>
      </c>
      <c r="C19" t="s">
        <v>9</v>
      </c>
      <c r="D19" t="s">
        <v>542</v>
      </c>
      <c r="E19" t="s">
        <v>10</v>
      </c>
      <c r="F19" t="s">
        <v>57</v>
      </c>
      <c r="G19" t="s">
        <v>12</v>
      </c>
      <c r="H19">
        <v>2</v>
      </c>
      <c r="I19" s="1" t="s">
        <v>12</v>
      </c>
      <c r="J19" s="1" t="s">
        <v>12</v>
      </c>
      <c r="K19" s="1" t="s">
        <v>12</v>
      </c>
    </row>
    <row r="20" spans="1:11" x14ac:dyDescent="0.25">
      <c r="A20" t="s">
        <v>58</v>
      </c>
      <c r="B20" t="s">
        <v>8</v>
      </c>
      <c r="C20" t="s">
        <v>9</v>
      </c>
      <c r="D20" t="s">
        <v>541</v>
      </c>
      <c r="E20" t="s">
        <v>50</v>
      </c>
      <c r="F20" t="s">
        <v>59</v>
      </c>
      <c r="G20" t="s">
        <v>12</v>
      </c>
      <c r="H20">
        <v>5</v>
      </c>
      <c r="I20" s="1" t="s">
        <v>12</v>
      </c>
      <c r="J20" s="1" t="s">
        <v>12</v>
      </c>
      <c r="K20" s="1" t="s">
        <v>12</v>
      </c>
    </row>
    <row r="21" spans="1:11" x14ac:dyDescent="0.25">
      <c r="A21" t="s">
        <v>60</v>
      </c>
      <c r="B21" t="s">
        <v>8</v>
      </c>
      <c r="C21" t="s">
        <v>9</v>
      </c>
      <c r="D21" t="s">
        <v>541</v>
      </c>
      <c r="E21" t="s">
        <v>45</v>
      </c>
      <c r="F21" t="s">
        <v>61</v>
      </c>
      <c r="G21" t="s">
        <v>12</v>
      </c>
      <c r="H21">
        <v>2</v>
      </c>
      <c r="I21" s="1" t="s">
        <v>12</v>
      </c>
      <c r="J21" s="1" t="s">
        <v>12</v>
      </c>
      <c r="K21" s="1" t="s">
        <v>12</v>
      </c>
    </row>
    <row r="22" spans="1:11" x14ac:dyDescent="0.25">
      <c r="A22" t="s">
        <v>62</v>
      </c>
      <c r="B22" t="s">
        <v>8</v>
      </c>
      <c r="C22" t="s">
        <v>9</v>
      </c>
      <c r="D22" t="s">
        <v>541</v>
      </c>
      <c r="E22" t="s">
        <v>45</v>
      </c>
      <c r="F22" t="s">
        <v>63</v>
      </c>
      <c r="G22" t="s">
        <v>12</v>
      </c>
      <c r="H22">
        <v>2</v>
      </c>
      <c r="I22" t="str">
        <f>VLOOKUP(Table1[[#This Row],[NAME]],Table13[#All],2,FALSE)</f>
        <v>Si</v>
      </c>
      <c r="J22" t="str">
        <f>VLOOKUP(Table1[[#This Row],[NAME]],Table13[#All],4,FALSE)</f>
        <v>Pay As You Go</v>
      </c>
      <c r="K22" t="str">
        <f>VLOOKUP(Table1[[#This Row],[NAME]],Table13[#All],5,FALSE)</f>
        <v>SQL2014-WS2012R2</v>
      </c>
    </row>
    <row r="23" spans="1:11" x14ac:dyDescent="0.25">
      <c r="A23" t="s">
        <v>64</v>
      </c>
      <c r="B23" t="s">
        <v>14</v>
      </c>
      <c r="C23" t="s">
        <v>9</v>
      </c>
      <c r="D23" t="s">
        <v>541</v>
      </c>
      <c r="E23" t="s">
        <v>50</v>
      </c>
      <c r="F23" t="s">
        <v>65</v>
      </c>
      <c r="G23" t="s">
        <v>12</v>
      </c>
      <c r="H23">
        <v>1</v>
      </c>
      <c r="I23" s="1" t="s">
        <v>12</v>
      </c>
      <c r="J23" s="1" t="s">
        <v>12</v>
      </c>
      <c r="K23" s="1" t="s">
        <v>12</v>
      </c>
    </row>
    <row r="24" spans="1:11" x14ac:dyDescent="0.25">
      <c r="A24" t="s">
        <v>66</v>
      </c>
      <c r="B24" t="s">
        <v>8</v>
      </c>
      <c r="C24" t="s">
        <v>9</v>
      </c>
      <c r="D24" t="s">
        <v>542</v>
      </c>
      <c r="E24" t="s">
        <v>32</v>
      </c>
      <c r="F24" t="s">
        <v>67</v>
      </c>
      <c r="G24" t="s">
        <v>12</v>
      </c>
      <c r="H24">
        <v>2</v>
      </c>
      <c r="I24" s="1" t="s">
        <v>12</v>
      </c>
      <c r="J24" s="1" t="s">
        <v>12</v>
      </c>
      <c r="K24" s="1" t="s">
        <v>12</v>
      </c>
    </row>
    <row r="25" spans="1:11" x14ac:dyDescent="0.25">
      <c r="A25" t="s">
        <v>68</v>
      </c>
      <c r="B25" t="s">
        <v>8</v>
      </c>
      <c r="C25" t="s">
        <v>9</v>
      </c>
      <c r="D25" t="s">
        <v>544</v>
      </c>
      <c r="E25" t="s">
        <v>45</v>
      </c>
      <c r="F25" t="s">
        <v>69</v>
      </c>
      <c r="G25" t="s">
        <v>12</v>
      </c>
      <c r="H25">
        <v>3</v>
      </c>
      <c r="I25" t="str">
        <f>VLOOKUP(Table1[[#This Row],[NAME]],Table13[#All],2,FALSE)</f>
        <v>Si</v>
      </c>
      <c r="J25" t="str">
        <f>VLOOKUP(Table1[[#This Row],[NAME]],Table13[#All],4,FALSE)</f>
        <v>Azure Hybrid Benefit</v>
      </c>
      <c r="K25" t="str">
        <f>VLOOKUP(Table1[[#This Row],[NAME]],Table13[#All],5,FALSE)</f>
        <v>SQL2016-WS2016</v>
      </c>
    </row>
    <row r="26" spans="1:11" x14ac:dyDescent="0.25">
      <c r="A26" t="s">
        <v>70</v>
      </c>
      <c r="B26" t="s">
        <v>8</v>
      </c>
      <c r="C26" t="s">
        <v>9</v>
      </c>
      <c r="D26" t="s">
        <v>541</v>
      </c>
      <c r="E26" t="s">
        <v>15</v>
      </c>
      <c r="F26" t="s">
        <v>71</v>
      </c>
      <c r="G26" t="s">
        <v>12</v>
      </c>
      <c r="H26">
        <v>4</v>
      </c>
      <c r="I26" s="1" t="s">
        <v>12</v>
      </c>
      <c r="J26" s="1" t="s">
        <v>12</v>
      </c>
      <c r="K26" s="1" t="s">
        <v>12</v>
      </c>
    </row>
    <row r="27" spans="1:11" x14ac:dyDescent="0.25">
      <c r="A27" t="s">
        <v>72</v>
      </c>
      <c r="B27" t="s">
        <v>8</v>
      </c>
      <c r="C27" t="s">
        <v>9</v>
      </c>
      <c r="D27" t="s">
        <v>543</v>
      </c>
      <c r="E27" t="s">
        <v>45</v>
      </c>
      <c r="F27" t="s">
        <v>73</v>
      </c>
      <c r="G27" t="s">
        <v>12</v>
      </c>
      <c r="H27">
        <v>3</v>
      </c>
      <c r="I27" t="str">
        <f>VLOOKUP(Table1[[#This Row],[NAME]],Table13[#All],2,FALSE)</f>
        <v>Si</v>
      </c>
      <c r="J27" t="str">
        <f>VLOOKUP(Table1[[#This Row],[NAME]],Table13[#All],4,FALSE)</f>
        <v>Azure Hybrid Benefit</v>
      </c>
      <c r="K27" t="str">
        <f>VLOOKUP(Table1[[#This Row],[NAME]],Table13[#All],5,FALSE)</f>
        <v>SQL2012-WS2012R2</v>
      </c>
    </row>
    <row r="28" spans="1:11" x14ac:dyDescent="0.25">
      <c r="A28" t="s">
        <v>74</v>
      </c>
      <c r="B28" t="s">
        <v>8</v>
      </c>
      <c r="C28" t="s">
        <v>9</v>
      </c>
      <c r="D28" t="s">
        <v>541</v>
      </c>
      <c r="E28" t="s">
        <v>75</v>
      </c>
      <c r="F28" t="s">
        <v>76</v>
      </c>
      <c r="G28" t="s">
        <v>12</v>
      </c>
      <c r="H28">
        <v>1</v>
      </c>
      <c r="I28" s="1" t="s">
        <v>12</v>
      </c>
      <c r="J28" s="1" t="s">
        <v>12</v>
      </c>
      <c r="K28" s="1" t="s">
        <v>12</v>
      </c>
    </row>
    <row r="29" spans="1:11" x14ac:dyDescent="0.25">
      <c r="A29" t="s">
        <v>77</v>
      </c>
      <c r="B29" t="s">
        <v>8</v>
      </c>
      <c r="C29" t="s">
        <v>9</v>
      </c>
      <c r="D29" t="s">
        <v>541</v>
      </c>
      <c r="E29" t="s">
        <v>15</v>
      </c>
      <c r="F29" t="s">
        <v>78</v>
      </c>
      <c r="G29" t="s">
        <v>12</v>
      </c>
      <c r="H29">
        <v>6</v>
      </c>
      <c r="I29" t="str">
        <f>VLOOKUP(Table1[[#This Row],[NAME]],Table13[#All],2,FALSE)</f>
        <v>Si</v>
      </c>
      <c r="J29" t="str">
        <f>VLOOKUP(Table1[[#This Row],[NAME]],Table13[#All],4,FALSE)</f>
        <v>Azure Hybrid Benefit</v>
      </c>
      <c r="K29" t="str">
        <f>VLOOKUP(Table1[[#This Row],[NAME]],Table13[#All],5,FALSE)</f>
        <v>SQL2014-WS2012R2</v>
      </c>
    </row>
    <row r="30" spans="1:11" x14ac:dyDescent="0.25">
      <c r="A30" t="s">
        <v>79</v>
      </c>
      <c r="B30" t="s">
        <v>8</v>
      </c>
      <c r="C30" t="s">
        <v>9</v>
      </c>
      <c r="D30" t="s">
        <v>542</v>
      </c>
      <c r="E30" t="s">
        <v>10</v>
      </c>
      <c r="F30" t="s">
        <v>80</v>
      </c>
      <c r="G30" t="s">
        <v>12</v>
      </c>
      <c r="H30">
        <v>2</v>
      </c>
      <c r="I30" t="str">
        <f>VLOOKUP(Table1[[#This Row],[NAME]],Table13[#All],2,FALSE)</f>
        <v>Si</v>
      </c>
      <c r="J30" t="str">
        <f>VLOOKUP(Table1[[#This Row],[NAME]],Table13[#All],4,FALSE)</f>
        <v>Azure Hybrid Benefit</v>
      </c>
      <c r="K30" t="str">
        <f>VLOOKUP(Table1[[#This Row],[NAME]],Table13[#All],5,FALSE)</f>
        <v>SQL2008-WS2008R2</v>
      </c>
    </row>
    <row r="31" spans="1:11" x14ac:dyDescent="0.25">
      <c r="A31" t="s">
        <v>81</v>
      </c>
      <c r="B31" t="s">
        <v>8</v>
      </c>
      <c r="C31" t="s">
        <v>9</v>
      </c>
      <c r="D31" t="s">
        <v>541</v>
      </c>
      <c r="E31" t="s">
        <v>45</v>
      </c>
      <c r="F31" t="s">
        <v>82</v>
      </c>
      <c r="G31" t="s">
        <v>12</v>
      </c>
      <c r="H31">
        <v>3</v>
      </c>
      <c r="I31" t="str">
        <f>VLOOKUP(Table1[[#This Row],[NAME]],Table13[#All],2,FALSE)</f>
        <v>Si</v>
      </c>
      <c r="J31" t="str">
        <f>VLOOKUP(Table1[[#This Row],[NAME]],Table13[#All],4,FALSE)</f>
        <v>Azure Hybrid Benefit</v>
      </c>
      <c r="K31" t="str">
        <f>VLOOKUP(Table1[[#This Row],[NAME]],Table13[#All],5,FALSE)</f>
        <v>SQL2012-WS2012R2</v>
      </c>
    </row>
    <row r="32" spans="1:11" x14ac:dyDescent="0.25">
      <c r="A32" t="s">
        <v>83</v>
      </c>
      <c r="B32" t="s">
        <v>8</v>
      </c>
      <c r="C32" t="s">
        <v>9</v>
      </c>
      <c r="D32" t="s">
        <v>541</v>
      </c>
      <c r="E32" t="s">
        <v>32</v>
      </c>
      <c r="F32" t="s">
        <v>84</v>
      </c>
      <c r="G32" t="s">
        <v>12</v>
      </c>
      <c r="H32">
        <v>1</v>
      </c>
      <c r="I32" s="1" t="s">
        <v>12</v>
      </c>
      <c r="J32" s="1" t="s">
        <v>12</v>
      </c>
      <c r="K32" s="1" t="s">
        <v>12</v>
      </c>
    </row>
    <row r="33" spans="1:11" x14ac:dyDescent="0.25">
      <c r="A33" t="s">
        <v>85</v>
      </c>
      <c r="B33" t="s">
        <v>8</v>
      </c>
      <c r="C33" t="s">
        <v>9</v>
      </c>
      <c r="D33" t="s">
        <v>541</v>
      </c>
      <c r="E33" t="s">
        <v>45</v>
      </c>
      <c r="F33" t="s">
        <v>86</v>
      </c>
      <c r="G33" t="s">
        <v>12</v>
      </c>
      <c r="H33">
        <v>4</v>
      </c>
      <c r="I33" t="str">
        <f>VLOOKUP(Table1[[#This Row],[NAME]],Table13[#All],2,FALSE)</f>
        <v>Si</v>
      </c>
      <c r="J33" t="str">
        <f>VLOOKUP(Table1[[#This Row],[NAME]],Table13[#All],4,FALSE)</f>
        <v>Azure Hybrid Benefit</v>
      </c>
      <c r="K33" t="str">
        <f>VLOOKUP(Table1[[#This Row],[NAME]],Table13[#All],5,FALSE)</f>
        <v>SQL2014-WS2012R2</v>
      </c>
    </row>
    <row r="34" spans="1:11" x14ac:dyDescent="0.25">
      <c r="A34" t="s">
        <v>87</v>
      </c>
      <c r="B34" t="s">
        <v>8</v>
      </c>
      <c r="C34" t="s">
        <v>9</v>
      </c>
      <c r="D34" t="s">
        <v>541</v>
      </c>
      <c r="E34" t="s">
        <v>45</v>
      </c>
      <c r="F34" t="s">
        <v>88</v>
      </c>
      <c r="G34" t="s">
        <v>89</v>
      </c>
      <c r="H34">
        <v>4</v>
      </c>
      <c r="I34" s="1" t="s">
        <v>12</v>
      </c>
      <c r="J34" s="1" t="s">
        <v>12</v>
      </c>
      <c r="K34" s="1" t="s">
        <v>12</v>
      </c>
    </row>
    <row r="35" spans="1:11" x14ac:dyDescent="0.25">
      <c r="A35" t="s">
        <v>90</v>
      </c>
      <c r="B35" t="s">
        <v>8</v>
      </c>
      <c r="C35" t="s">
        <v>9</v>
      </c>
      <c r="D35" t="s">
        <v>541</v>
      </c>
      <c r="E35" t="s">
        <v>75</v>
      </c>
      <c r="F35" t="s">
        <v>91</v>
      </c>
      <c r="G35" t="s">
        <v>12</v>
      </c>
      <c r="H35">
        <v>1</v>
      </c>
      <c r="I35" s="1" t="s">
        <v>12</v>
      </c>
      <c r="J35" s="1" t="s">
        <v>12</v>
      </c>
      <c r="K35" s="1" t="s">
        <v>12</v>
      </c>
    </row>
    <row r="36" spans="1:11" x14ac:dyDescent="0.25">
      <c r="A36" t="s">
        <v>92</v>
      </c>
      <c r="B36" t="s">
        <v>8</v>
      </c>
      <c r="C36" t="s">
        <v>9</v>
      </c>
      <c r="D36" t="s">
        <v>541</v>
      </c>
      <c r="E36" t="s">
        <v>35</v>
      </c>
      <c r="F36" t="s">
        <v>93</v>
      </c>
      <c r="G36" t="s">
        <v>12</v>
      </c>
      <c r="H36">
        <v>3</v>
      </c>
      <c r="I36" t="str">
        <f>VLOOKUP(Table1[[#This Row],[NAME]],Table13[#All],2,FALSE)</f>
        <v>Si</v>
      </c>
      <c r="J36" t="str">
        <f>VLOOKUP(Table1[[#This Row],[NAME]],Table13[#All],4,FALSE)</f>
        <v>Azure Hybrid Benefit</v>
      </c>
      <c r="K36" t="str">
        <f>VLOOKUP(Table1[[#This Row],[NAME]],Table13[#All],5,FALSE)</f>
        <v>SQL2012-WS2012R2</v>
      </c>
    </row>
    <row r="37" spans="1:11" x14ac:dyDescent="0.25">
      <c r="A37" t="s">
        <v>94</v>
      </c>
      <c r="B37" t="s">
        <v>8</v>
      </c>
      <c r="C37" t="s">
        <v>9</v>
      </c>
      <c r="D37" t="s">
        <v>542</v>
      </c>
      <c r="E37" t="s">
        <v>10</v>
      </c>
      <c r="F37" t="s">
        <v>95</v>
      </c>
      <c r="G37" t="s">
        <v>12</v>
      </c>
      <c r="H37">
        <v>1</v>
      </c>
      <c r="I37" s="1" t="s">
        <v>12</v>
      </c>
      <c r="J37" s="1" t="s">
        <v>12</v>
      </c>
      <c r="K37" s="1" t="s">
        <v>12</v>
      </c>
    </row>
    <row r="38" spans="1:11" x14ac:dyDescent="0.25">
      <c r="A38" t="s">
        <v>96</v>
      </c>
      <c r="B38" t="s">
        <v>8</v>
      </c>
      <c r="C38" t="s">
        <v>9</v>
      </c>
      <c r="D38" t="s">
        <v>541</v>
      </c>
      <c r="E38" t="s">
        <v>10</v>
      </c>
      <c r="F38" t="s">
        <v>97</v>
      </c>
      <c r="G38" t="s">
        <v>12</v>
      </c>
      <c r="H38">
        <v>1</v>
      </c>
      <c r="I38" s="1" t="s">
        <v>12</v>
      </c>
      <c r="J38" s="1" t="s">
        <v>12</v>
      </c>
      <c r="K38" s="1" t="s">
        <v>12</v>
      </c>
    </row>
    <row r="39" spans="1:11" x14ac:dyDescent="0.25">
      <c r="A39" t="s">
        <v>98</v>
      </c>
      <c r="B39" t="s">
        <v>8</v>
      </c>
      <c r="C39" t="s">
        <v>28</v>
      </c>
      <c r="E39" t="s">
        <v>10</v>
      </c>
      <c r="F39" t="s">
        <v>99</v>
      </c>
      <c r="G39" t="s">
        <v>12</v>
      </c>
      <c r="H39">
        <v>1</v>
      </c>
      <c r="I39" s="1" t="s">
        <v>12</v>
      </c>
      <c r="J39" s="1" t="s">
        <v>12</v>
      </c>
      <c r="K39" s="1" t="s">
        <v>12</v>
      </c>
    </row>
    <row r="40" spans="1:11" x14ac:dyDescent="0.25">
      <c r="A40" t="s">
        <v>100</v>
      </c>
      <c r="B40" t="s">
        <v>14</v>
      </c>
      <c r="C40" t="s">
        <v>28</v>
      </c>
      <c r="E40" t="s">
        <v>10</v>
      </c>
      <c r="F40" t="s">
        <v>101</v>
      </c>
      <c r="G40" t="s">
        <v>102</v>
      </c>
      <c r="H40">
        <v>1</v>
      </c>
      <c r="I40" s="1" t="s">
        <v>12</v>
      </c>
      <c r="J40" s="1" t="s">
        <v>12</v>
      </c>
      <c r="K40" s="1" t="s">
        <v>12</v>
      </c>
    </row>
    <row r="41" spans="1:11" x14ac:dyDescent="0.25">
      <c r="A41" t="s">
        <v>103</v>
      </c>
      <c r="B41" t="s">
        <v>8</v>
      </c>
      <c r="C41" t="s">
        <v>28</v>
      </c>
      <c r="E41" t="s">
        <v>10</v>
      </c>
      <c r="F41" t="s">
        <v>104</v>
      </c>
      <c r="G41" t="s">
        <v>12</v>
      </c>
      <c r="H41">
        <v>1</v>
      </c>
      <c r="I41" s="1" t="s">
        <v>12</v>
      </c>
      <c r="J41" s="1" t="s">
        <v>12</v>
      </c>
      <c r="K41" s="1" t="s">
        <v>12</v>
      </c>
    </row>
    <row r="42" spans="1:11" x14ac:dyDescent="0.25">
      <c r="A42" t="s">
        <v>105</v>
      </c>
      <c r="B42" t="s">
        <v>8</v>
      </c>
      <c r="C42" t="s">
        <v>9</v>
      </c>
      <c r="D42" t="s">
        <v>542</v>
      </c>
      <c r="E42" t="s">
        <v>18</v>
      </c>
      <c r="F42" t="s">
        <v>106</v>
      </c>
      <c r="G42" t="s">
        <v>12</v>
      </c>
      <c r="H42">
        <v>3</v>
      </c>
      <c r="I42" s="1" t="s">
        <v>12</v>
      </c>
      <c r="J42" s="1" t="s">
        <v>12</v>
      </c>
      <c r="K42" s="1" t="s">
        <v>12</v>
      </c>
    </row>
    <row r="43" spans="1:11" x14ac:dyDescent="0.25">
      <c r="A43" t="s">
        <v>107</v>
      </c>
      <c r="B43" t="s">
        <v>8</v>
      </c>
      <c r="C43" t="s">
        <v>9</v>
      </c>
      <c r="D43" t="s">
        <v>541</v>
      </c>
      <c r="E43" t="s">
        <v>45</v>
      </c>
      <c r="F43" t="s">
        <v>108</v>
      </c>
      <c r="G43" t="s">
        <v>12</v>
      </c>
      <c r="H43">
        <v>10</v>
      </c>
      <c r="I43" t="str">
        <f>VLOOKUP(Table1[[#This Row],[NAME]],Table13[#All],2,FALSE)</f>
        <v>Si</v>
      </c>
      <c r="J43" t="str">
        <f>VLOOKUP(Table1[[#This Row],[NAME]],Table13[#All],4,FALSE)</f>
        <v>Azure Hybrid Benefit</v>
      </c>
      <c r="K43" t="str">
        <f>VLOOKUP(Table1[[#This Row],[NAME]],Table13[#All],5,FALSE)</f>
        <v>SQL2012-WS2012R2</v>
      </c>
    </row>
    <row r="44" spans="1:11" x14ac:dyDescent="0.25">
      <c r="A44" t="s">
        <v>109</v>
      </c>
      <c r="B44" t="s">
        <v>8</v>
      </c>
      <c r="C44" t="s">
        <v>9</v>
      </c>
      <c r="D44" t="s">
        <v>542</v>
      </c>
      <c r="E44" t="s">
        <v>10</v>
      </c>
      <c r="F44" t="s">
        <v>110</v>
      </c>
      <c r="G44" t="s">
        <v>12</v>
      </c>
      <c r="H44">
        <v>2</v>
      </c>
      <c r="I44" t="str">
        <f>VLOOKUP(Table1[[#This Row],[NAME]],Table13[#All],2,FALSE)</f>
        <v>Si</v>
      </c>
      <c r="J44" t="str">
        <f>VLOOKUP(Table1[[#This Row],[NAME]],Table13[#All],4,FALSE)</f>
        <v>Azure Hybrid Benefit</v>
      </c>
      <c r="K44" t="str">
        <f>VLOOKUP(Table1[[#This Row],[NAME]],Table13[#All],5,FALSE)</f>
        <v>SQL2008R2-WS2008R2</v>
      </c>
    </row>
    <row r="45" spans="1:11" x14ac:dyDescent="0.25">
      <c r="A45" t="s">
        <v>111</v>
      </c>
      <c r="B45" t="s">
        <v>14</v>
      </c>
      <c r="C45" t="s">
        <v>9</v>
      </c>
      <c r="D45" t="s">
        <v>541</v>
      </c>
      <c r="E45" t="s">
        <v>10</v>
      </c>
      <c r="F45" t="s">
        <v>112</v>
      </c>
      <c r="G45" t="s">
        <v>12</v>
      </c>
      <c r="H45">
        <v>1</v>
      </c>
      <c r="I45" s="1" t="s">
        <v>12</v>
      </c>
      <c r="J45" s="1" t="s">
        <v>12</v>
      </c>
      <c r="K45" s="1" t="s">
        <v>12</v>
      </c>
    </row>
    <row r="46" spans="1:11" x14ac:dyDescent="0.25">
      <c r="A46" t="s">
        <v>113</v>
      </c>
      <c r="B46" t="s">
        <v>14</v>
      </c>
      <c r="C46" t="s">
        <v>9</v>
      </c>
      <c r="D46" t="s">
        <v>541</v>
      </c>
      <c r="E46" t="s">
        <v>114</v>
      </c>
      <c r="F46" t="s">
        <v>115</v>
      </c>
      <c r="G46" t="s">
        <v>12</v>
      </c>
      <c r="H46">
        <v>6</v>
      </c>
      <c r="I46" t="str">
        <f>VLOOKUP(Table1[[#This Row],[NAME]],Table13[#All],2,FALSE)</f>
        <v>Si</v>
      </c>
      <c r="J46" t="str">
        <f>VLOOKUP(Table1[[#This Row],[NAME]],Table13[#All],4,FALSE)</f>
        <v>Azure Hybrid Benefit</v>
      </c>
      <c r="K46" t="str">
        <f>VLOOKUP(Table1[[#This Row],[NAME]],Table13[#All],5,FALSE)</f>
        <v>SQL2008R2-WS2008R2</v>
      </c>
    </row>
    <row r="47" spans="1:11" x14ac:dyDescent="0.25">
      <c r="A47" t="s">
        <v>116</v>
      </c>
      <c r="B47" t="s">
        <v>8</v>
      </c>
      <c r="C47" t="s">
        <v>9</v>
      </c>
      <c r="D47" t="s">
        <v>541</v>
      </c>
      <c r="E47" t="s">
        <v>117</v>
      </c>
      <c r="F47" t="s">
        <v>118</v>
      </c>
      <c r="G47" t="s">
        <v>12</v>
      </c>
      <c r="H47">
        <v>10</v>
      </c>
      <c r="I47" t="str">
        <f>VLOOKUP(Table1[[#This Row],[NAME]],Table13[#All],2,FALSE)</f>
        <v>Si</v>
      </c>
      <c r="J47" t="str">
        <f>VLOOKUP(Table1[[#This Row],[NAME]],Table13[#All],4,FALSE)</f>
        <v>Azure Hybrid Benefit</v>
      </c>
      <c r="K47" t="str">
        <f>VLOOKUP(Table1[[#This Row],[NAME]],Table13[#All],5,FALSE)</f>
        <v>SQL2012-WS2012R2</v>
      </c>
    </row>
    <row r="48" spans="1:11" x14ac:dyDescent="0.25">
      <c r="A48" t="s">
        <v>119</v>
      </c>
      <c r="B48" t="s">
        <v>8</v>
      </c>
      <c r="C48" t="s">
        <v>9</v>
      </c>
      <c r="D48" t="s">
        <v>541</v>
      </c>
      <c r="E48" t="s">
        <v>10</v>
      </c>
      <c r="F48" t="s">
        <v>120</v>
      </c>
      <c r="G48" t="s">
        <v>12</v>
      </c>
      <c r="H48">
        <v>1</v>
      </c>
      <c r="I48" s="1" t="s">
        <v>12</v>
      </c>
      <c r="J48" s="1" t="s">
        <v>12</v>
      </c>
      <c r="K48" s="1" t="s">
        <v>12</v>
      </c>
    </row>
    <row r="49" spans="1:11" x14ac:dyDescent="0.25">
      <c r="A49" t="s">
        <v>121</v>
      </c>
      <c r="B49" t="s">
        <v>8</v>
      </c>
      <c r="C49" t="s">
        <v>9</v>
      </c>
      <c r="D49" t="s">
        <v>542</v>
      </c>
      <c r="E49" t="s">
        <v>15</v>
      </c>
      <c r="F49" t="s">
        <v>122</v>
      </c>
      <c r="G49" t="s">
        <v>12</v>
      </c>
      <c r="H49">
        <v>6</v>
      </c>
      <c r="I49" t="str">
        <f>VLOOKUP(Table1[[#This Row],[NAME]],Table13[#All],2,FALSE)</f>
        <v>Si</v>
      </c>
      <c r="J49" t="str">
        <f>VLOOKUP(Table1[[#This Row],[NAME]],Table13[#All],4,FALSE)</f>
        <v>Azure Hybrid Benefit</v>
      </c>
      <c r="K49" t="str">
        <f>VLOOKUP(Table1[[#This Row],[NAME]],Table13[#All],5,FALSE)</f>
        <v>SQL2008R2-WS2008R2</v>
      </c>
    </row>
    <row r="50" spans="1:11" x14ac:dyDescent="0.25">
      <c r="A50" t="s">
        <v>123</v>
      </c>
      <c r="B50" t="s">
        <v>8</v>
      </c>
      <c r="C50" t="s">
        <v>9</v>
      </c>
      <c r="D50" t="s">
        <v>542</v>
      </c>
      <c r="E50" t="s">
        <v>10</v>
      </c>
      <c r="F50" t="s">
        <v>124</v>
      </c>
      <c r="G50" t="s">
        <v>12</v>
      </c>
      <c r="H50">
        <v>2</v>
      </c>
      <c r="I50" s="1" t="s">
        <v>12</v>
      </c>
      <c r="J50" s="1" t="s">
        <v>12</v>
      </c>
      <c r="K50" s="1" t="s">
        <v>12</v>
      </c>
    </row>
    <row r="51" spans="1:11" x14ac:dyDescent="0.25">
      <c r="A51" t="s">
        <v>125</v>
      </c>
      <c r="B51" t="s">
        <v>8</v>
      </c>
      <c r="C51" t="s">
        <v>9</v>
      </c>
      <c r="D51" t="s">
        <v>544</v>
      </c>
      <c r="E51" t="s">
        <v>45</v>
      </c>
      <c r="F51" t="s">
        <v>126</v>
      </c>
      <c r="G51" t="s">
        <v>12</v>
      </c>
      <c r="H51">
        <v>3</v>
      </c>
      <c r="I51" t="str">
        <f>VLOOKUP(Table1[[#This Row],[NAME]],Table13[#All],2,FALSE)</f>
        <v>Si</v>
      </c>
      <c r="J51" t="str">
        <f>VLOOKUP(Table1[[#This Row],[NAME]],Table13[#All],4,FALSE)</f>
        <v>Azure Hybrid Benefit</v>
      </c>
      <c r="K51" t="str">
        <f>VLOOKUP(Table1[[#This Row],[NAME]],Table13[#All],5,FALSE)</f>
        <v>SQL2016-WS2016</v>
      </c>
    </row>
    <row r="52" spans="1:11" x14ac:dyDescent="0.25">
      <c r="A52" t="s">
        <v>127</v>
      </c>
      <c r="B52" t="s">
        <v>8</v>
      </c>
      <c r="C52" t="s">
        <v>28</v>
      </c>
      <c r="E52" t="s">
        <v>10</v>
      </c>
      <c r="F52" t="s">
        <v>128</v>
      </c>
      <c r="G52" t="s">
        <v>12</v>
      </c>
      <c r="H52">
        <v>1</v>
      </c>
      <c r="I52" s="1" t="s">
        <v>12</v>
      </c>
      <c r="J52" s="1" t="s">
        <v>12</v>
      </c>
      <c r="K52" s="1" t="s">
        <v>12</v>
      </c>
    </row>
    <row r="53" spans="1:11" x14ac:dyDescent="0.25">
      <c r="A53" t="s">
        <v>127</v>
      </c>
      <c r="B53" t="s">
        <v>8</v>
      </c>
      <c r="C53" t="s">
        <v>28</v>
      </c>
      <c r="E53" t="s">
        <v>10</v>
      </c>
      <c r="F53" t="s">
        <v>129</v>
      </c>
      <c r="G53" t="s">
        <v>12</v>
      </c>
      <c r="H53">
        <v>1</v>
      </c>
      <c r="I53" s="1" t="s">
        <v>12</v>
      </c>
      <c r="J53" s="1" t="s">
        <v>12</v>
      </c>
      <c r="K53" s="1" t="s">
        <v>12</v>
      </c>
    </row>
    <row r="54" spans="1:11" x14ac:dyDescent="0.25">
      <c r="A54" t="s">
        <v>130</v>
      </c>
      <c r="B54" t="s">
        <v>14</v>
      </c>
      <c r="C54" t="s">
        <v>9</v>
      </c>
      <c r="D54" t="s">
        <v>541</v>
      </c>
      <c r="E54" t="s">
        <v>131</v>
      </c>
      <c r="F54" t="s">
        <v>132</v>
      </c>
      <c r="G54" t="s">
        <v>12</v>
      </c>
      <c r="H54">
        <v>2</v>
      </c>
      <c r="I54" s="1" t="s">
        <v>12</v>
      </c>
      <c r="J54" s="1" t="s">
        <v>12</v>
      </c>
      <c r="K54" s="1" t="s">
        <v>12</v>
      </c>
    </row>
    <row r="55" spans="1:11" x14ac:dyDescent="0.25">
      <c r="A55" t="s">
        <v>133</v>
      </c>
      <c r="B55" t="s">
        <v>14</v>
      </c>
      <c r="C55" t="s">
        <v>9</v>
      </c>
      <c r="D55" t="s">
        <v>541</v>
      </c>
      <c r="E55" t="s">
        <v>21</v>
      </c>
      <c r="F55" t="s">
        <v>134</v>
      </c>
      <c r="G55" t="s">
        <v>12</v>
      </c>
      <c r="H55">
        <v>1</v>
      </c>
      <c r="I55" s="1" t="s">
        <v>12</v>
      </c>
      <c r="J55" s="1" t="s">
        <v>12</v>
      </c>
      <c r="K55" s="1" t="s">
        <v>12</v>
      </c>
    </row>
    <row r="56" spans="1:11" x14ac:dyDescent="0.25">
      <c r="A56" t="s">
        <v>135</v>
      </c>
      <c r="B56" t="s">
        <v>8</v>
      </c>
      <c r="C56" t="s">
        <v>9</v>
      </c>
      <c r="D56" t="s">
        <v>541</v>
      </c>
      <c r="E56" t="s">
        <v>10</v>
      </c>
      <c r="F56" t="s">
        <v>136</v>
      </c>
      <c r="G56" t="s">
        <v>12</v>
      </c>
      <c r="H56">
        <v>1</v>
      </c>
      <c r="I56" s="1" t="s">
        <v>12</v>
      </c>
      <c r="J56" s="1" t="s">
        <v>12</v>
      </c>
      <c r="K56" s="1" t="s">
        <v>12</v>
      </c>
    </row>
    <row r="57" spans="1:11" x14ac:dyDescent="0.25">
      <c r="A57" t="s">
        <v>137</v>
      </c>
      <c r="B57" t="s">
        <v>8</v>
      </c>
      <c r="C57" t="s">
        <v>9</v>
      </c>
      <c r="D57" t="s">
        <v>541</v>
      </c>
      <c r="E57" t="s">
        <v>50</v>
      </c>
      <c r="F57" t="s">
        <v>138</v>
      </c>
      <c r="G57" t="s">
        <v>12</v>
      </c>
      <c r="H57">
        <v>1</v>
      </c>
      <c r="I57" s="1" t="s">
        <v>12</v>
      </c>
      <c r="J57" s="1" t="s">
        <v>12</v>
      </c>
      <c r="K57" s="1" t="s">
        <v>12</v>
      </c>
    </row>
    <row r="58" spans="1:11" x14ac:dyDescent="0.25">
      <c r="A58" t="s">
        <v>139</v>
      </c>
      <c r="B58" t="s">
        <v>8</v>
      </c>
      <c r="C58" t="s">
        <v>9</v>
      </c>
      <c r="D58" t="s">
        <v>541</v>
      </c>
      <c r="E58" t="s">
        <v>140</v>
      </c>
      <c r="F58" t="s">
        <v>141</v>
      </c>
      <c r="G58" t="s">
        <v>12</v>
      </c>
      <c r="H58">
        <v>2</v>
      </c>
      <c r="I58" s="1" t="s">
        <v>12</v>
      </c>
      <c r="J58" s="1" t="s">
        <v>12</v>
      </c>
      <c r="K58" s="1" t="s">
        <v>12</v>
      </c>
    </row>
    <row r="59" spans="1:11" x14ac:dyDescent="0.25">
      <c r="A59" t="s">
        <v>142</v>
      </c>
      <c r="B59" t="s">
        <v>8</v>
      </c>
      <c r="C59" t="s">
        <v>9</v>
      </c>
      <c r="D59" t="s">
        <v>541</v>
      </c>
      <c r="E59" t="s">
        <v>50</v>
      </c>
      <c r="F59" t="s">
        <v>143</v>
      </c>
      <c r="G59" t="s">
        <v>12</v>
      </c>
      <c r="H59">
        <v>2</v>
      </c>
      <c r="I59" s="1" t="s">
        <v>12</v>
      </c>
      <c r="J59" s="1" t="s">
        <v>12</v>
      </c>
      <c r="K59" s="1" t="s">
        <v>12</v>
      </c>
    </row>
    <row r="60" spans="1:11" x14ac:dyDescent="0.25">
      <c r="A60" t="s">
        <v>144</v>
      </c>
      <c r="B60" t="s">
        <v>8</v>
      </c>
      <c r="C60" t="s">
        <v>9</v>
      </c>
      <c r="D60" t="s">
        <v>541</v>
      </c>
      <c r="E60" t="s">
        <v>140</v>
      </c>
      <c r="F60" t="s">
        <v>145</v>
      </c>
      <c r="G60" t="s">
        <v>12</v>
      </c>
      <c r="H60">
        <v>2</v>
      </c>
      <c r="I60" t="str">
        <f>VLOOKUP(Table1[[#This Row],[NAME]],Table13[#All],2,FALSE)</f>
        <v>Si</v>
      </c>
      <c r="J60" t="str">
        <f>VLOOKUP(Table1[[#This Row],[NAME]],Table13[#All],4,FALSE)</f>
        <v>Azure Hybrid Benefit</v>
      </c>
      <c r="K60" t="str">
        <f>VLOOKUP(Table1[[#This Row],[NAME]],Table13[#All],5,FALSE)</f>
        <v>SQL2014-WS2012R2</v>
      </c>
    </row>
    <row r="61" spans="1:11" x14ac:dyDescent="0.25">
      <c r="A61" t="s">
        <v>146</v>
      </c>
      <c r="B61" t="s">
        <v>8</v>
      </c>
      <c r="C61" t="s">
        <v>9</v>
      </c>
      <c r="D61" t="s">
        <v>544</v>
      </c>
      <c r="E61" t="s">
        <v>15</v>
      </c>
      <c r="F61" t="s">
        <v>147</v>
      </c>
      <c r="G61" t="s">
        <v>12</v>
      </c>
      <c r="H61">
        <v>3</v>
      </c>
      <c r="I61" t="str">
        <f>VLOOKUP(Table1[[#This Row],[NAME]],Table13[#All],2,FALSE)</f>
        <v>Si</v>
      </c>
      <c r="J61" t="str">
        <f>VLOOKUP(Table1[[#This Row],[NAME]],Table13[#All],4,FALSE)</f>
        <v>Azure Hybrid Benefit</v>
      </c>
      <c r="K61" t="str">
        <f>VLOOKUP(Table1[[#This Row],[NAME]],Table13[#All],5,FALSE)</f>
        <v>SQL2016-WS2016</v>
      </c>
    </row>
    <row r="62" spans="1:11" x14ac:dyDescent="0.25">
      <c r="A62" t="s">
        <v>148</v>
      </c>
      <c r="B62" t="s">
        <v>14</v>
      </c>
      <c r="C62" t="s">
        <v>9</v>
      </c>
      <c r="D62" t="s">
        <v>541</v>
      </c>
      <c r="E62" t="s">
        <v>149</v>
      </c>
      <c r="F62" t="s">
        <v>150</v>
      </c>
      <c r="G62" t="s">
        <v>12</v>
      </c>
      <c r="H62">
        <v>2</v>
      </c>
      <c r="I62" s="1" t="s">
        <v>12</v>
      </c>
      <c r="J62" s="1" t="s">
        <v>12</v>
      </c>
      <c r="K62" s="1" t="s">
        <v>12</v>
      </c>
    </row>
    <row r="63" spans="1:11" x14ac:dyDescent="0.25">
      <c r="A63" t="s">
        <v>151</v>
      </c>
      <c r="B63" t="s">
        <v>14</v>
      </c>
      <c r="C63" t="s">
        <v>9</v>
      </c>
      <c r="D63" t="s">
        <v>541</v>
      </c>
      <c r="E63" t="s">
        <v>152</v>
      </c>
      <c r="F63" t="s">
        <v>153</v>
      </c>
      <c r="G63" t="s">
        <v>12</v>
      </c>
      <c r="H63">
        <v>1</v>
      </c>
      <c r="I63" s="1" t="s">
        <v>12</v>
      </c>
      <c r="J63" s="1" t="s">
        <v>12</v>
      </c>
      <c r="K63" s="1" t="s">
        <v>12</v>
      </c>
    </row>
    <row r="64" spans="1:11" x14ac:dyDescent="0.25">
      <c r="A64" t="s">
        <v>154</v>
      </c>
      <c r="B64" t="s">
        <v>8</v>
      </c>
      <c r="C64" t="s">
        <v>9</v>
      </c>
      <c r="D64" t="s">
        <v>541</v>
      </c>
      <c r="E64" t="s">
        <v>10</v>
      </c>
      <c r="F64" t="s">
        <v>155</v>
      </c>
      <c r="G64" t="s">
        <v>12</v>
      </c>
      <c r="H64">
        <v>2</v>
      </c>
      <c r="I64" s="1" t="s">
        <v>12</v>
      </c>
      <c r="J64" s="1" t="s">
        <v>12</v>
      </c>
      <c r="K64" s="1" t="s">
        <v>12</v>
      </c>
    </row>
    <row r="65" spans="1:11" x14ac:dyDescent="0.25">
      <c r="A65" t="s">
        <v>156</v>
      </c>
      <c r="B65" t="s">
        <v>8</v>
      </c>
      <c r="C65" t="s">
        <v>9</v>
      </c>
      <c r="D65" t="s">
        <v>543</v>
      </c>
      <c r="E65" t="s">
        <v>45</v>
      </c>
      <c r="F65" t="s">
        <v>157</v>
      </c>
      <c r="G65" t="s">
        <v>12</v>
      </c>
      <c r="H65">
        <v>1</v>
      </c>
      <c r="I65" t="str">
        <f>VLOOKUP(Table1[[#This Row],[NAME]],Table13[#All],2,FALSE)</f>
        <v>Si</v>
      </c>
      <c r="J65" t="str">
        <f>VLOOKUP(Table1[[#This Row],[NAME]],Table13[#All],4,FALSE)</f>
        <v>Azure Hybrid Benefit</v>
      </c>
      <c r="K65" t="str">
        <f>VLOOKUP(Table1[[#This Row],[NAME]],Table13[#All],5,FALSE)</f>
        <v>SQL2012-WS2012R2</v>
      </c>
    </row>
    <row r="66" spans="1:11" x14ac:dyDescent="0.25">
      <c r="A66" t="s">
        <v>158</v>
      </c>
      <c r="B66" t="s">
        <v>14</v>
      </c>
      <c r="C66" t="s">
        <v>9</v>
      </c>
      <c r="D66" t="s">
        <v>541</v>
      </c>
      <c r="E66" t="s">
        <v>50</v>
      </c>
      <c r="F66" t="s">
        <v>159</v>
      </c>
      <c r="G66" t="s">
        <v>12</v>
      </c>
      <c r="H66">
        <v>1</v>
      </c>
      <c r="I66" s="1" t="s">
        <v>12</v>
      </c>
      <c r="J66" s="1" t="s">
        <v>12</v>
      </c>
      <c r="K66" s="1" t="s">
        <v>12</v>
      </c>
    </row>
    <row r="67" spans="1:11" x14ac:dyDescent="0.25">
      <c r="A67" t="s">
        <v>160</v>
      </c>
      <c r="B67" t="s">
        <v>8</v>
      </c>
      <c r="C67" t="s">
        <v>9</v>
      </c>
      <c r="D67" t="s">
        <v>541</v>
      </c>
      <c r="E67" t="s">
        <v>75</v>
      </c>
      <c r="F67" t="s">
        <v>161</v>
      </c>
      <c r="G67" t="s">
        <v>12</v>
      </c>
      <c r="H67">
        <v>1</v>
      </c>
      <c r="I67" s="1" t="s">
        <v>12</v>
      </c>
      <c r="J67" s="1" t="s">
        <v>12</v>
      </c>
      <c r="K67" s="1" t="s">
        <v>12</v>
      </c>
    </row>
    <row r="68" spans="1:11" x14ac:dyDescent="0.25">
      <c r="A68" t="s">
        <v>162</v>
      </c>
      <c r="B68" t="s">
        <v>8</v>
      </c>
      <c r="C68" t="s">
        <v>9</v>
      </c>
      <c r="D68" t="s">
        <v>541</v>
      </c>
      <c r="E68" t="s">
        <v>35</v>
      </c>
      <c r="F68" t="s">
        <v>163</v>
      </c>
      <c r="G68" t="s">
        <v>12</v>
      </c>
      <c r="H68">
        <v>3</v>
      </c>
      <c r="I68" t="str">
        <f>VLOOKUP(Table1[[#This Row],[NAME]],Table13[#All],2,FALSE)</f>
        <v>Si</v>
      </c>
      <c r="J68" t="str">
        <f>VLOOKUP(Table1[[#This Row],[NAME]],Table13[#All],4,FALSE)</f>
        <v>Azure Hybrid Benefit</v>
      </c>
      <c r="K68" t="str">
        <f>VLOOKUP(Table1[[#This Row],[NAME]],Table13[#All],5,FALSE)</f>
        <v>SQL2012-WS2012R2</v>
      </c>
    </row>
    <row r="69" spans="1:11" x14ac:dyDescent="0.25">
      <c r="A69" t="s">
        <v>164</v>
      </c>
      <c r="B69" t="s">
        <v>8</v>
      </c>
      <c r="C69" t="s">
        <v>9</v>
      </c>
      <c r="D69" t="s">
        <v>541</v>
      </c>
      <c r="E69" t="s">
        <v>45</v>
      </c>
      <c r="F69" t="s">
        <v>165</v>
      </c>
      <c r="G69" t="s">
        <v>12</v>
      </c>
      <c r="H69">
        <v>1</v>
      </c>
      <c r="I69" s="1" t="s">
        <v>12</v>
      </c>
      <c r="J69" s="1" t="s">
        <v>12</v>
      </c>
      <c r="K69" s="1" t="s">
        <v>12</v>
      </c>
    </row>
    <row r="70" spans="1:11" x14ac:dyDescent="0.25">
      <c r="A70" t="s">
        <v>166</v>
      </c>
      <c r="B70" t="s">
        <v>8</v>
      </c>
      <c r="C70" t="s">
        <v>9</v>
      </c>
      <c r="D70" t="s">
        <v>541</v>
      </c>
      <c r="E70" t="s">
        <v>167</v>
      </c>
      <c r="F70" t="s">
        <v>168</v>
      </c>
      <c r="G70" t="s">
        <v>12</v>
      </c>
      <c r="H70">
        <v>2</v>
      </c>
      <c r="I70" s="1" t="s">
        <v>12</v>
      </c>
      <c r="J70" s="1" t="s">
        <v>12</v>
      </c>
      <c r="K70" s="1" t="s">
        <v>12</v>
      </c>
    </row>
    <row r="71" spans="1:11" x14ac:dyDescent="0.25">
      <c r="A71" t="s">
        <v>169</v>
      </c>
      <c r="B71" t="s">
        <v>8</v>
      </c>
      <c r="C71" t="s">
        <v>9</v>
      </c>
      <c r="D71" t="s">
        <v>541</v>
      </c>
      <c r="E71" t="s">
        <v>18</v>
      </c>
      <c r="F71" t="s">
        <v>170</v>
      </c>
      <c r="G71" t="s">
        <v>12</v>
      </c>
      <c r="H71">
        <v>3</v>
      </c>
      <c r="I71" t="str">
        <f>VLOOKUP(Table1[[#This Row],[NAME]],Table13[#All],2,FALSE)</f>
        <v>Si</v>
      </c>
      <c r="J71" t="str">
        <f>VLOOKUP(Table1[[#This Row],[NAME]],Table13[#All],4,FALSE)</f>
        <v>Azure Hybrid Benefit</v>
      </c>
      <c r="K71" t="str">
        <f>VLOOKUP(Table1[[#This Row],[NAME]],Table13[#All],5,FALSE)</f>
        <v>SQL2012-WS2012R2</v>
      </c>
    </row>
    <row r="72" spans="1:11" x14ac:dyDescent="0.25">
      <c r="A72" t="s">
        <v>171</v>
      </c>
      <c r="B72" t="s">
        <v>8</v>
      </c>
      <c r="C72" t="s">
        <v>9</v>
      </c>
      <c r="D72" t="s">
        <v>541</v>
      </c>
      <c r="E72" t="s">
        <v>50</v>
      </c>
      <c r="F72" t="s">
        <v>172</v>
      </c>
      <c r="G72" t="s">
        <v>12</v>
      </c>
      <c r="H72">
        <v>2</v>
      </c>
      <c r="I72" s="1" t="s">
        <v>12</v>
      </c>
      <c r="J72" s="1" t="s">
        <v>12</v>
      </c>
      <c r="K72" s="1" t="s">
        <v>12</v>
      </c>
    </row>
    <row r="73" spans="1:11" x14ac:dyDescent="0.25">
      <c r="A73" t="s">
        <v>173</v>
      </c>
      <c r="B73" t="s">
        <v>8</v>
      </c>
      <c r="C73" t="s">
        <v>9</v>
      </c>
      <c r="D73" t="s">
        <v>541</v>
      </c>
      <c r="E73" t="s">
        <v>167</v>
      </c>
      <c r="F73" t="s">
        <v>174</v>
      </c>
      <c r="G73" t="s">
        <v>12</v>
      </c>
      <c r="H73">
        <v>1</v>
      </c>
      <c r="I73" s="1" t="s">
        <v>12</v>
      </c>
      <c r="J73" s="1" t="s">
        <v>12</v>
      </c>
      <c r="K73" s="1" t="s">
        <v>12</v>
      </c>
    </row>
    <row r="74" spans="1:11" x14ac:dyDescent="0.25">
      <c r="A74" t="s">
        <v>175</v>
      </c>
      <c r="B74" t="s">
        <v>8</v>
      </c>
      <c r="C74" t="s">
        <v>9</v>
      </c>
      <c r="D74" t="s">
        <v>541</v>
      </c>
      <c r="E74" t="s">
        <v>176</v>
      </c>
      <c r="F74" t="s">
        <v>177</v>
      </c>
      <c r="G74" t="s">
        <v>12</v>
      </c>
      <c r="H74">
        <v>3</v>
      </c>
      <c r="I74" t="str">
        <f>VLOOKUP(Table1[[#This Row],[NAME]],Table13[#All],2,FALSE)</f>
        <v>Si</v>
      </c>
      <c r="J74" t="str">
        <f>VLOOKUP(Table1[[#This Row],[NAME]],Table13[#All],4,FALSE)</f>
        <v>Azure Hybrid Benefit</v>
      </c>
      <c r="K74" t="str">
        <f>VLOOKUP(Table1[[#This Row],[NAME]],Table13[#All],5,FALSE)</f>
        <v>SQL2014-WS2012R2</v>
      </c>
    </row>
    <row r="75" spans="1:11" x14ac:dyDescent="0.25">
      <c r="A75" t="s">
        <v>178</v>
      </c>
      <c r="B75" t="s">
        <v>8</v>
      </c>
      <c r="C75" t="s">
        <v>9</v>
      </c>
      <c r="D75" t="s">
        <v>541</v>
      </c>
      <c r="E75" t="s">
        <v>10</v>
      </c>
      <c r="F75" t="s">
        <v>179</v>
      </c>
      <c r="G75" t="s">
        <v>12</v>
      </c>
      <c r="H75">
        <v>1</v>
      </c>
      <c r="I75" s="1" t="s">
        <v>12</v>
      </c>
      <c r="J75" s="1" t="s">
        <v>12</v>
      </c>
      <c r="K75" s="1" t="s">
        <v>12</v>
      </c>
    </row>
    <row r="76" spans="1:11" x14ac:dyDescent="0.25">
      <c r="A76" t="s">
        <v>180</v>
      </c>
      <c r="B76" t="s">
        <v>8</v>
      </c>
      <c r="C76" t="s">
        <v>9</v>
      </c>
      <c r="D76" t="s">
        <v>541</v>
      </c>
      <c r="E76" t="s">
        <v>181</v>
      </c>
      <c r="F76" t="s">
        <v>182</v>
      </c>
      <c r="G76" t="s">
        <v>12</v>
      </c>
      <c r="H76">
        <v>2</v>
      </c>
      <c r="I76" s="1" t="s">
        <v>12</v>
      </c>
      <c r="J76" s="1" t="s">
        <v>12</v>
      </c>
      <c r="K76" s="1" t="s">
        <v>12</v>
      </c>
    </row>
    <row r="77" spans="1:11" x14ac:dyDescent="0.25">
      <c r="A77" t="s">
        <v>183</v>
      </c>
      <c r="B77" t="s">
        <v>8</v>
      </c>
      <c r="C77" t="s">
        <v>9</v>
      </c>
      <c r="D77" t="s">
        <v>544</v>
      </c>
      <c r="E77" t="s">
        <v>10</v>
      </c>
      <c r="F77" t="s">
        <v>184</v>
      </c>
      <c r="G77" t="s">
        <v>12</v>
      </c>
      <c r="H77">
        <v>1</v>
      </c>
      <c r="I77" s="1" t="s">
        <v>12</v>
      </c>
      <c r="J77" s="1" t="s">
        <v>12</v>
      </c>
      <c r="K77" s="1" t="s">
        <v>12</v>
      </c>
    </row>
    <row r="78" spans="1:11" x14ac:dyDescent="0.25">
      <c r="A78" t="s">
        <v>185</v>
      </c>
      <c r="B78" t="s">
        <v>8</v>
      </c>
      <c r="C78" t="s">
        <v>9</v>
      </c>
      <c r="D78" t="s">
        <v>541</v>
      </c>
      <c r="E78" t="s">
        <v>10</v>
      </c>
      <c r="F78" t="s">
        <v>186</v>
      </c>
      <c r="G78" t="s">
        <v>12</v>
      </c>
      <c r="H78">
        <v>2</v>
      </c>
      <c r="I78" s="1" t="s">
        <v>12</v>
      </c>
      <c r="J78" s="1" t="s">
        <v>12</v>
      </c>
      <c r="K78" s="1" t="s">
        <v>12</v>
      </c>
    </row>
    <row r="79" spans="1:11" x14ac:dyDescent="0.25">
      <c r="A79" t="s">
        <v>187</v>
      </c>
      <c r="B79" t="s">
        <v>8</v>
      </c>
      <c r="C79" t="s">
        <v>9</v>
      </c>
      <c r="D79" t="s">
        <v>544</v>
      </c>
      <c r="E79" t="s">
        <v>45</v>
      </c>
      <c r="F79" t="s">
        <v>188</v>
      </c>
      <c r="G79" t="s">
        <v>12</v>
      </c>
      <c r="H79">
        <v>3</v>
      </c>
      <c r="I79" t="str">
        <f>VLOOKUP(Table1[[#This Row],[NAME]],Table13[#All],2,FALSE)</f>
        <v>Si</v>
      </c>
      <c r="J79" t="str">
        <f>VLOOKUP(Table1[[#This Row],[NAME]],Table13[#All],4,FALSE)</f>
        <v>Azure Hybrid Benefit</v>
      </c>
      <c r="K79" t="str">
        <f>VLOOKUP(Table1[[#This Row],[NAME]],Table13[#All],5,FALSE)</f>
        <v>SQL2016-WS2016</v>
      </c>
    </row>
    <row r="80" spans="1:11" x14ac:dyDescent="0.25">
      <c r="A80" t="s">
        <v>189</v>
      </c>
      <c r="B80" t="s">
        <v>8</v>
      </c>
      <c r="C80" t="s">
        <v>9</v>
      </c>
      <c r="D80" t="s">
        <v>544</v>
      </c>
      <c r="E80" t="s">
        <v>50</v>
      </c>
      <c r="F80" t="s">
        <v>190</v>
      </c>
      <c r="G80" t="s">
        <v>12</v>
      </c>
      <c r="H80">
        <v>2</v>
      </c>
      <c r="I80" s="1" t="s">
        <v>12</v>
      </c>
      <c r="J80" s="1" t="s">
        <v>12</v>
      </c>
      <c r="K80" s="1" t="s">
        <v>12</v>
      </c>
    </row>
    <row r="81" spans="1:11" x14ac:dyDescent="0.25">
      <c r="A81" t="s">
        <v>191</v>
      </c>
      <c r="B81" t="s">
        <v>8</v>
      </c>
      <c r="C81" t="s">
        <v>9</v>
      </c>
      <c r="D81" t="s">
        <v>544</v>
      </c>
      <c r="E81" t="s">
        <v>35</v>
      </c>
      <c r="F81" t="s">
        <v>192</v>
      </c>
      <c r="G81" t="s">
        <v>12</v>
      </c>
      <c r="H81">
        <v>3</v>
      </c>
      <c r="I81" t="str">
        <f>VLOOKUP(Table1[[#This Row],[NAME]],Table13[#All],2,FALSE)</f>
        <v>Si</v>
      </c>
      <c r="J81" t="str">
        <f>VLOOKUP(Table1[[#This Row],[NAME]],Table13[#All],4,FALSE)</f>
        <v>Azure Hybrid Benefit</v>
      </c>
      <c r="K81" t="str">
        <f>VLOOKUP(Table1[[#This Row],[NAME]],Table13[#All],5,FALSE)</f>
        <v>SQL2016-WS2016</v>
      </c>
    </row>
    <row r="82" spans="1:11" x14ac:dyDescent="0.25">
      <c r="A82" t="s">
        <v>193</v>
      </c>
      <c r="B82" t="s">
        <v>8</v>
      </c>
      <c r="C82" t="s">
        <v>9</v>
      </c>
      <c r="D82" t="s">
        <v>544</v>
      </c>
      <c r="E82" t="s">
        <v>10</v>
      </c>
      <c r="F82" t="s">
        <v>194</v>
      </c>
      <c r="G82" t="s">
        <v>12</v>
      </c>
      <c r="H82">
        <v>1</v>
      </c>
      <c r="I82" s="1" t="s">
        <v>12</v>
      </c>
      <c r="J82" s="1" t="s">
        <v>12</v>
      </c>
      <c r="K82" s="1" t="s">
        <v>12</v>
      </c>
    </row>
    <row r="83" spans="1:11" x14ac:dyDescent="0.25">
      <c r="A83" t="s">
        <v>195</v>
      </c>
      <c r="B83" t="s">
        <v>8</v>
      </c>
      <c r="C83" t="s">
        <v>9</v>
      </c>
      <c r="D83" t="s">
        <v>544</v>
      </c>
      <c r="E83" t="s">
        <v>10</v>
      </c>
      <c r="F83" t="s">
        <v>196</v>
      </c>
      <c r="G83" t="s">
        <v>12</v>
      </c>
      <c r="H83">
        <v>1</v>
      </c>
      <c r="I83" s="1" t="s">
        <v>12</v>
      </c>
      <c r="J83" s="1" t="s">
        <v>12</v>
      </c>
      <c r="K83" s="1" t="s">
        <v>12</v>
      </c>
    </row>
    <row r="84" spans="1:11" x14ac:dyDescent="0.25">
      <c r="A84" t="s">
        <v>197</v>
      </c>
      <c r="B84" t="s">
        <v>8</v>
      </c>
      <c r="C84" t="s">
        <v>9</v>
      </c>
      <c r="D84" t="s">
        <v>544</v>
      </c>
      <c r="E84" t="s">
        <v>45</v>
      </c>
      <c r="F84" t="s">
        <v>198</v>
      </c>
      <c r="G84" t="s">
        <v>12</v>
      </c>
      <c r="H84">
        <v>3</v>
      </c>
      <c r="I84" t="str">
        <f>VLOOKUP(Table1[[#This Row],[NAME]],Table13[#All],2,FALSE)</f>
        <v>Si</v>
      </c>
      <c r="J84" t="str">
        <f>VLOOKUP(Table1[[#This Row],[NAME]],Table13[#All],4,FALSE)</f>
        <v>Azure Hybrid Benefit</v>
      </c>
      <c r="K84" t="str">
        <f>VLOOKUP(Table1[[#This Row],[NAME]],Table13[#All],5,FALSE)</f>
        <v>SQL2016-WS2016</v>
      </c>
    </row>
    <row r="85" spans="1:11" x14ac:dyDescent="0.25">
      <c r="A85" t="s">
        <v>199</v>
      </c>
      <c r="B85" t="s">
        <v>8</v>
      </c>
      <c r="C85" t="s">
        <v>9</v>
      </c>
      <c r="D85" t="s">
        <v>544</v>
      </c>
      <c r="E85" t="s">
        <v>176</v>
      </c>
      <c r="F85" t="s">
        <v>200</v>
      </c>
      <c r="G85" t="s">
        <v>12</v>
      </c>
      <c r="H85">
        <v>2</v>
      </c>
      <c r="I85" s="1" t="s">
        <v>12</v>
      </c>
      <c r="J85" s="1" t="s">
        <v>12</v>
      </c>
      <c r="K85" s="1" t="s">
        <v>12</v>
      </c>
    </row>
    <row r="86" spans="1:11" x14ac:dyDescent="0.25">
      <c r="A86" t="s">
        <v>201</v>
      </c>
      <c r="B86" t="s">
        <v>8</v>
      </c>
      <c r="C86" t="s">
        <v>9</v>
      </c>
      <c r="D86" t="s">
        <v>544</v>
      </c>
      <c r="E86" t="s">
        <v>10</v>
      </c>
      <c r="F86" t="s">
        <v>202</v>
      </c>
      <c r="G86" t="s">
        <v>12</v>
      </c>
      <c r="H86">
        <v>2</v>
      </c>
      <c r="I86" s="1" t="s">
        <v>12</v>
      </c>
      <c r="J86" s="1" t="s">
        <v>12</v>
      </c>
      <c r="K86" s="1" t="s">
        <v>12</v>
      </c>
    </row>
    <row r="87" spans="1:11" x14ac:dyDescent="0.25">
      <c r="A87" t="s">
        <v>203</v>
      </c>
      <c r="B87" t="s">
        <v>8</v>
      </c>
      <c r="C87" t="s">
        <v>9</v>
      </c>
      <c r="D87" t="s">
        <v>544</v>
      </c>
      <c r="E87" t="s">
        <v>167</v>
      </c>
      <c r="F87" t="s">
        <v>204</v>
      </c>
      <c r="G87" t="s">
        <v>12</v>
      </c>
      <c r="H87">
        <v>1</v>
      </c>
      <c r="I87" s="1" t="s">
        <v>12</v>
      </c>
      <c r="J87" s="1" t="s">
        <v>12</v>
      </c>
      <c r="K87" s="1" t="s">
        <v>12</v>
      </c>
    </row>
    <row r="88" spans="1:11" x14ac:dyDescent="0.25">
      <c r="A88" t="s">
        <v>205</v>
      </c>
      <c r="B88" t="s">
        <v>8</v>
      </c>
      <c r="C88" t="s">
        <v>9</v>
      </c>
      <c r="D88" t="s">
        <v>544</v>
      </c>
      <c r="E88" t="s">
        <v>50</v>
      </c>
      <c r="F88" t="s">
        <v>206</v>
      </c>
      <c r="G88" t="s">
        <v>12</v>
      </c>
      <c r="H88">
        <v>1</v>
      </c>
      <c r="I88" s="1" t="s">
        <v>12</v>
      </c>
      <c r="J88" s="1" t="s">
        <v>12</v>
      </c>
      <c r="K88" s="1" t="s">
        <v>12</v>
      </c>
    </row>
    <row r="89" spans="1:11" x14ac:dyDescent="0.25">
      <c r="A89" t="s">
        <v>207</v>
      </c>
      <c r="B89" t="s">
        <v>8</v>
      </c>
      <c r="C89" t="s">
        <v>9</v>
      </c>
      <c r="D89" t="s">
        <v>545</v>
      </c>
      <c r="E89" t="s">
        <v>18</v>
      </c>
      <c r="F89" t="s">
        <v>208</v>
      </c>
      <c r="G89" t="s">
        <v>12</v>
      </c>
      <c r="H89">
        <v>2</v>
      </c>
      <c r="I89" s="1" t="s">
        <v>12</v>
      </c>
      <c r="J89" s="1" t="s">
        <v>12</v>
      </c>
      <c r="K89" s="1" t="s">
        <v>12</v>
      </c>
    </row>
    <row r="90" spans="1:11" x14ac:dyDescent="0.25">
      <c r="A90" t="s">
        <v>209</v>
      </c>
      <c r="B90" t="s">
        <v>8</v>
      </c>
      <c r="C90" t="s">
        <v>9</v>
      </c>
      <c r="D90" t="s">
        <v>541</v>
      </c>
      <c r="E90" t="s">
        <v>50</v>
      </c>
      <c r="F90" t="s">
        <v>210</v>
      </c>
      <c r="G90" t="s">
        <v>12</v>
      </c>
      <c r="H90">
        <v>2</v>
      </c>
      <c r="I90" s="1" t="s">
        <v>12</v>
      </c>
      <c r="J90" s="1" t="s">
        <v>12</v>
      </c>
      <c r="K90" s="1" t="s">
        <v>12</v>
      </c>
    </row>
    <row r="91" spans="1:11" x14ac:dyDescent="0.25">
      <c r="A91" t="s">
        <v>211</v>
      </c>
      <c r="B91" t="s">
        <v>8</v>
      </c>
      <c r="C91" t="s">
        <v>9</v>
      </c>
      <c r="D91" t="s">
        <v>541</v>
      </c>
      <c r="E91" t="s">
        <v>50</v>
      </c>
      <c r="F91" t="s">
        <v>212</v>
      </c>
      <c r="G91" t="s">
        <v>12</v>
      </c>
      <c r="H91">
        <v>1</v>
      </c>
      <c r="I91" s="1" t="s">
        <v>12</v>
      </c>
      <c r="J91" s="1" t="s">
        <v>12</v>
      </c>
      <c r="K91" s="1" t="s">
        <v>12</v>
      </c>
    </row>
    <row r="92" spans="1:11" x14ac:dyDescent="0.25">
      <c r="A92" t="s">
        <v>213</v>
      </c>
      <c r="B92" t="s">
        <v>14</v>
      </c>
      <c r="C92" t="s">
        <v>9</v>
      </c>
      <c r="D92" t="s">
        <v>541</v>
      </c>
      <c r="E92" t="s">
        <v>50</v>
      </c>
      <c r="F92" t="s">
        <v>214</v>
      </c>
      <c r="G92" t="s">
        <v>12</v>
      </c>
      <c r="H92">
        <v>1</v>
      </c>
      <c r="I92" s="1" t="s">
        <v>12</v>
      </c>
      <c r="J92" s="1" t="s">
        <v>12</v>
      </c>
      <c r="K92" s="1" t="s">
        <v>12</v>
      </c>
    </row>
    <row r="93" spans="1:11" x14ac:dyDescent="0.25">
      <c r="A93" t="s">
        <v>215</v>
      </c>
      <c r="B93" t="s">
        <v>14</v>
      </c>
      <c r="C93" t="s">
        <v>9</v>
      </c>
      <c r="D93" t="s">
        <v>541</v>
      </c>
      <c r="E93" t="s">
        <v>32</v>
      </c>
      <c r="F93" t="s">
        <v>216</v>
      </c>
      <c r="G93" t="s">
        <v>12</v>
      </c>
      <c r="H93">
        <v>1</v>
      </c>
      <c r="I93" s="1" t="s">
        <v>12</v>
      </c>
      <c r="J93" s="1" t="s">
        <v>12</v>
      </c>
      <c r="K93" s="1" t="s">
        <v>12</v>
      </c>
    </row>
    <row r="94" spans="1:11" x14ac:dyDescent="0.25">
      <c r="A94" t="s">
        <v>217</v>
      </c>
      <c r="B94" t="s">
        <v>8</v>
      </c>
      <c r="C94" t="s">
        <v>9</v>
      </c>
      <c r="D94" t="s">
        <v>544</v>
      </c>
      <c r="E94" t="s">
        <v>45</v>
      </c>
      <c r="F94" t="s">
        <v>218</v>
      </c>
      <c r="G94" t="s">
        <v>12</v>
      </c>
      <c r="H94">
        <v>3</v>
      </c>
      <c r="I94" t="str">
        <f>VLOOKUP(Table1[[#This Row],[NAME]],Table13[#All],2,FALSE)</f>
        <v>Si</v>
      </c>
      <c r="J94" t="str">
        <f>VLOOKUP(Table1[[#This Row],[NAME]],Table13[#All],4,FALSE)</f>
        <v>Azure Hybrid Benefit</v>
      </c>
      <c r="K94" t="str">
        <f>VLOOKUP(Table1[[#This Row],[NAME]],Table13[#All],5,FALSE)</f>
        <v>SQL2016-WS2016</v>
      </c>
    </row>
    <row r="95" spans="1:11" x14ac:dyDescent="0.25">
      <c r="A95" t="s">
        <v>219</v>
      </c>
      <c r="B95" t="s">
        <v>14</v>
      </c>
      <c r="C95" t="s">
        <v>9</v>
      </c>
      <c r="D95" t="s">
        <v>544</v>
      </c>
      <c r="E95" t="s">
        <v>149</v>
      </c>
      <c r="F95" t="s">
        <v>220</v>
      </c>
      <c r="G95" t="s">
        <v>12</v>
      </c>
      <c r="H95">
        <v>2</v>
      </c>
      <c r="I95" s="1" t="s">
        <v>12</v>
      </c>
      <c r="J95" s="1" t="s">
        <v>12</v>
      </c>
      <c r="K95" s="1" t="s">
        <v>12</v>
      </c>
    </row>
    <row r="96" spans="1:11" x14ac:dyDescent="0.25">
      <c r="A96" t="s">
        <v>221</v>
      </c>
      <c r="B96" t="s">
        <v>14</v>
      </c>
      <c r="C96" t="s">
        <v>9</v>
      </c>
      <c r="D96" t="s">
        <v>544</v>
      </c>
      <c r="E96" t="s">
        <v>131</v>
      </c>
      <c r="F96" t="s">
        <v>222</v>
      </c>
      <c r="G96" t="s">
        <v>12</v>
      </c>
      <c r="H96">
        <v>1</v>
      </c>
      <c r="I96" s="1" t="s">
        <v>12</v>
      </c>
      <c r="J96" s="1" t="s">
        <v>12</v>
      </c>
      <c r="K96" s="1" t="s">
        <v>12</v>
      </c>
    </row>
    <row r="97" spans="1:11" x14ac:dyDescent="0.25">
      <c r="A97" t="s">
        <v>223</v>
      </c>
      <c r="B97" t="s">
        <v>8</v>
      </c>
      <c r="C97" t="s">
        <v>9</v>
      </c>
      <c r="D97" t="s">
        <v>541</v>
      </c>
      <c r="E97" t="s">
        <v>45</v>
      </c>
      <c r="F97" t="s">
        <v>224</v>
      </c>
      <c r="G97" t="s">
        <v>12</v>
      </c>
      <c r="H97">
        <v>2</v>
      </c>
      <c r="I97" s="1" t="s">
        <v>12</v>
      </c>
      <c r="J97" s="1" t="s">
        <v>12</v>
      </c>
      <c r="K97" s="1" t="s">
        <v>12</v>
      </c>
    </row>
    <row r="98" spans="1:11" x14ac:dyDescent="0.25">
      <c r="A98" t="s">
        <v>225</v>
      </c>
      <c r="B98" t="s">
        <v>8</v>
      </c>
      <c r="C98" t="s">
        <v>9</v>
      </c>
      <c r="D98" t="s">
        <v>541</v>
      </c>
      <c r="E98" t="s">
        <v>226</v>
      </c>
      <c r="F98" t="s">
        <v>227</v>
      </c>
      <c r="G98" t="s">
        <v>12</v>
      </c>
      <c r="H98">
        <v>4</v>
      </c>
      <c r="I98" s="1" t="s">
        <v>12</v>
      </c>
      <c r="J98" s="1" t="s">
        <v>12</v>
      </c>
      <c r="K98" s="1" t="s">
        <v>12</v>
      </c>
    </row>
    <row r="99" spans="1:11" x14ac:dyDescent="0.25">
      <c r="A99" t="s">
        <v>228</v>
      </c>
      <c r="B99" t="s">
        <v>8</v>
      </c>
      <c r="C99" t="s">
        <v>9</v>
      </c>
      <c r="D99" t="s">
        <v>541</v>
      </c>
      <c r="E99" t="s">
        <v>15</v>
      </c>
      <c r="F99" t="s">
        <v>229</v>
      </c>
      <c r="G99" t="s">
        <v>12</v>
      </c>
      <c r="H99">
        <v>5</v>
      </c>
      <c r="I99" t="str">
        <f>VLOOKUP(Table1[[#This Row],[NAME]],Table13[#All],2,FALSE)</f>
        <v>Si</v>
      </c>
      <c r="J99" t="str">
        <f>VLOOKUP(Table1[[#This Row],[NAME]],Table13[#All],4,FALSE)</f>
        <v>Azure Hybrid Benefit</v>
      </c>
      <c r="K99" t="str">
        <f>VLOOKUP(Table1[[#This Row],[NAME]],Table13[#All],5,FALSE)</f>
        <v>SQL2014-WS2012R2</v>
      </c>
    </row>
    <row r="100" spans="1:11" x14ac:dyDescent="0.25">
      <c r="A100" t="s">
        <v>230</v>
      </c>
      <c r="B100" t="s">
        <v>8</v>
      </c>
      <c r="C100" t="s">
        <v>9</v>
      </c>
      <c r="D100" t="s">
        <v>541</v>
      </c>
      <c r="E100" t="s">
        <v>45</v>
      </c>
      <c r="F100" t="s">
        <v>231</v>
      </c>
      <c r="G100" t="s">
        <v>12</v>
      </c>
      <c r="H100">
        <v>3</v>
      </c>
      <c r="I100" t="str">
        <f>VLOOKUP(Table1[[#This Row],[NAME]],Table13[#All],2,FALSE)</f>
        <v>Si</v>
      </c>
      <c r="J100" t="str">
        <f>VLOOKUP(Table1[[#This Row],[NAME]],Table13[#All],4,FALSE)</f>
        <v>Azure Hybrid Benefit</v>
      </c>
      <c r="K100" t="str">
        <f>VLOOKUP(Table1[[#This Row],[NAME]],Table13[#All],5,FALSE)</f>
        <v>SQL2014-WS2012R2</v>
      </c>
    </row>
    <row r="101" spans="1:11" x14ac:dyDescent="0.25">
      <c r="A101" t="s">
        <v>232</v>
      </c>
      <c r="B101" t="s">
        <v>8</v>
      </c>
      <c r="C101" t="s">
        <v>9</v>
      </c>
      <c r="D101" t="s">
        <v>541</v>
      </c>
      <c r="E101" t="s">
        <v>45</v>
      </c>
      <c r="F101" t="s">
        <v>233</v>
      </c>
      <c r="G101" t="s">
        <v>12</v>
      </c>
      <c r="H101">
        <v>1</v>
      </c>
      <c r="I101" s="1" t="s">
        <v>12</v>
      </c>
      <c r="J101" s="1" t="s">
        <v>12</v>
      </c>
      <c r="K101" s="1" t="s">
        <v>12</v>
      </c>
    </row>
    <row r="102" spans="1:11" x14ac:dyDescent="0.25">
      <c r="A102" t="s">
        <v>234</v>
      </c>
      <c r="B102" t="s">
        <v>8</v>
      </c>
      <c r="C102" t="s">
        <v>9</v>
      </c>
      <c r="D102" t="s">
        <v>541</v>
      </c>
      <c r="E102" t="s">
        <v>235</v>
      </c>
      <c r="F102" t="s">
        <v>236</v>
      </c>
      <c r="G102" t="s">
        <v>12</v>
      </c>
      <c r="H102">
        <v>4</v>
      </c>
      <c r="I102" s="1" t="s">
        <v>12</v>
      </c>
      <c r="J102" s="1" t="s">
        <v>12</v>
      </c>
      <c r="K102" s="1" t="s">
        <v>12</v>
      </c>
    </row>
    <row r="103" spans="1:11" x14ac:dyDescent="0.25">
      <c r="A103" t="s">
        <v>237</v>
      </c>
      <c r="B103" t="s">
        <v>8</v>
      </c>
      <c r="C103" t="s">
        <v>9</v>
      </c>
      <c r="D103" t="s">
        <v>541</v>
      </c>
      <c r="E103" t="s">
        <v>21</v>
      </c>
      <c r="F103" t="s">
        <v>238</v>
      </c>
      <c r="G103" t="s">
        <v>12</v>
      </c>
      <c r="H103">
        <v>6</v>
      </c>
      <c r="I103" t="str">
        <f>VLOOKUP(Table1[[#This Row],[NAME]],Table13[#All],2,FALSE)</f>
        <v>Si</v>
      </c>
      <c r="J103" t="str">
        <f>VLOOKUP(Table1[[#This Row],[NAME]],Table13[#All],4,FALSE)</f>
        <v>Azure Hybrid Benefit</v>
      </c>
      <c r="K103" t="str">
        <f>VLOOKUP(Table1[[#This Row],[NAME]],Table13[#All],5,FALSE)</f>
        <v>SQL2014-WS2012R2</v>
      </c>
    </row>
    <row r="104" spans="1:11" x14ac:dyDescent="0.25">
      <c r="A104" t="s">
        <v>239</v>
      </c>
      <c r="B104" t="s">
        <v>8</v>
      </c>
      <c r="C104" t="s">
        <v>9</v>
      </c>
      <c r="D104" t="s">
        <v>541</v>
      </c>
      <c r="E104" t="s">
        <v>50</v>
      </c>
      <c r="F104" t="s">
        <v>240</v>
      </c>
      <c r="G104" t="s">
        <v>12</v>
      </c>
      <c r="H104">
        <v>1</v>
      </c>
      <c r="I104" s="1" t="s">
        <v>12</v>
      </c>
      <c r="J104" s="1" t="s">
        <v>12</v>
      </c>
      <c r="K104" s="1" t="s">
        <v>12</v>
      </c>
    </row>
    <row r="105" spans="1:11" x14ac:dyDescent="0.25">
      <c r="A105" t="s">
        <v>239</v>
      </c>
      <c r="B105" t="s">
        <v>14</v>
      </c>
      <c r="C105" t="s">
        <v>9</v>
      </c>
      <c r="D105" t="s">
        <v>541</v>
      </c>
      <c r="E105" t="s">
        <v>50</v>
      </c>
      <c r="F105" t="s">
        <v>241</v>
      </c>
      <c r="G105" t="s">
        <v>242</v>
      </c>
      <c r="H105">
        <v>1</v>
      </c>
      <c r="I105" s="1" t="s">
        <v>12</v>
      </c>
      <c r="J105" s="1" t="s">
        <v>12</v>
      </c>
      <c r="K105" s="1" t="s">
        <v>12</v>
      </c>
    </row>
    <row r="106" spans="1:11" x14ac:dyDescent="0.25">
      <c r="A106" t="s">
        <v>243</v>
      </c>
      <c r="B106" t="s">
        <v>8</v>
      </c>
      <c r="C106" t="s">
        <v>9</v>
      </c>
      <c r="D106" t="s">
        <v>541</v>
      </c>
      <c r="E106" t="s">
        <v>244</v>
      </c>
      <c r="F106" t="s">
        <v>245</v>
      </c>
      <c r="G106" t="s">
        <v>246</v>
      </c>
      <c r="H106">
        <v>1</v>
      </c>
      <c r="I106" s="1" t="s">
        <v>12</v>
      </c>
      <c r="J106" s="1" t="s">
        <v>12</v>
      </c>
      <c r="K106" s="1" t="s">
        <v>12</v>
      </c>
    </row>
    <row r="107" spans="1:11" x14ac:dyDescent="0.25">
      <c r="A107" t="s">
        <v>247</v>
      </c>
      <c r="B107" t="s">
        <v>8</v>
      </c>
      <c r="C107" t="s">
        <v>9</v>
      </c>
      <c r="D107" t="s">
        <v>541</v>
      </c>
      <c r="E107" t="s">
        <v>50</v>
      </c>
      <c r="F107" t="s">
        <v>248</v>
      </c>
      <c r="G107" t="s">
        <v>12</v>
      </c>
      <c r="H107">
        <v>2</v>
      </c>
      <c r="I107" t="str">
        <f>VLOOKUP(Table1[[#This Row],[NAME]],Table13[#All],2,FALSE)</f>
        <v>Si</v>
      </c>
      <c r="J107" t="str">
        <f>VLOOKUP(Table1[[#This Row],[NAME]],Table13[#All],4,FALSE)</f>
        <v>Pay As You Go</v>
      </c>
      <c r="K107" t="str">
        <f>VLOOKUP(Table1[[#This Row],[NAME]],Table13[#All],5,FALSE)</f>
        <v>SQL2016-WS2016</v>
      </c>
    </row>
    <row r="108" spans="1:11" x14ac:dyDescent="0.25">
      <c r="A108" t="s">
        <v>247</v>
      </c>
      <c r="B108" t="s">
        <v>14</v>
      </c>
      <c r="C108" t="s">
        <v>9</v>
      </c>
      <c r="D108" t="s">
        <v>541</v>
      </c>
      <c r="E108" t="s">
        <v>50</v>
      </c>
      <c r="F108" t="s">
        <v>249</v>
      </c>
      <c r="G108" t="s">
        <v>250</v>
      </c>
      <c r="H108">
        <v>2</v>
      </c>
      <c r="I108" t="str">
        <f>VLOOKUP(Table1[[#This Row],[NAME]],Table13[#All],2,FALSE)</f>
        <v>Si</v>
      </c>
      <c r="J108" t="str">
        <f>VLOOKUP(Table1[[#This Row],[NAME]],Table13[#All],4,FALSE)</f>
        <v>Pay As You Go</v>
      </c>
      <c r="K108" t="str">
        <f>VLOOKUP(Table1[[#This Row],[NAME]],Table13[#All],5,FALSE)</f>
        <v>SQL2016-WS2016</v>
      </c>
    </row>
    <row r="109" spans="1:11" x14ac:dyDescent="0.25">
      <c r="A109" t="s">
        <v>251</v>
      </c>
      <c r="B109" t="s">
        <v>8</v>
      </c>
      <c r="C109" t="s">
        <v>9</v>
      </c>
      <c r="D109" t="s">
        <v>541</v>
      </c>
      <c r="E109" t="s">
        <v>50</v>
      </c>
      <c r="F109" t="s">
        <v>252</v>
      </c>
      <c r="G109" t="s">
        <v>12</v>
      </c>
      <c r="H109">
        <v>1</v>
      </c>
      <c r="I109" s="1" t="s">
        <v>12</v>
      </c>
      <c r="J109" s="1" t="s">
        <v>12</v>
      </c>
      <c r="K109" s="1" t="s">
        <v>12</v>
      </c>
    </row>
    <row r="110" spans="1:11" x14ac:dyDescent="0.25">
      <c r="A110" t="s">
        <v>251</v>
      </c>
      <c r="B110" t="s">
        <v>14</v>
      </c>
      <c r="C110" t="s">
        <v>9</v>
      </c>
      <c r="D110" t="s">
        <v>541</v>
      </c>
      <c r="E110" t="s">
        <v>50</v>
      </c>
      <c r="F110" t="s">
        <v>253</v>
      </c>
      <c r="G110" t="s">
        <v>254</v>
      </c>
      <c r="H110">
        <v>1</v>
      </c>
      <c r="I110" s="1" t="s">
        <v>12</v>
      </c>
      <c r="J110" s="1" t="s">
        <v>12</v>
      </c>
      <c r="K110" s="1" t="s">
        <v>12</v>
      </c>
    </row>
    <row r="111" spans="1:11" x14ac:dyDescent="0.25">
      <c r="A111" t="s">
        <v>255</v>
      </c>
      <c r="B111" t="s">
        <v>8</v>
      </c>
      <c r="C111" t="s">
        <v>9</v>
      </c>
      <c r="D111" t="s">
        <v>541</v>
      </c>
      <c r="E111" t="s">
        <v>50</v>
      </c>
      <c r="F111" t="s">
        <v>256</v>
      </c>
      <c r="G111" t="s">
        <v>12</v>
      </c>
      <c r="H111">
        <v>2</v>
      </c>
      <c r="I111" t="str">
        <f>VLOOKUP(Table1[[#This Row],[NAME]],Table13[#All],2,FALSE)</f>
        <v>Si</v>
      </c>
      <c r="J111" t="str">
        <f>VLOOKUP(Table1[[#This Row],[NAME]],Table13[#All],4,FALSE)</f>
        <v>Azure Hybrid Benefit</v>
      </c>
      <c r="K111" t="str">
        <f>VLOOKUP(Table1[[#This Row],[NAME]],Table13[#All],5,FALSE)</f>
        <v>SQL2016-WS2016</v>
      </c>
    </row>
    <row r="112" spans="1:11" x14ac:dyDescent="0.25">
      <c r="A112" t="s">
        <v>255</v>
      </c>
      <c r="B112" t="s">
        <v>14</v>
      </c>
      <c r="C112" t="s">
        <v>9</v>
      </c>
      <c r="D112" t="s">
        <v>541</v>
      </c>
      <c r="E112" t="s">
        <v>50</v>
      </c>
      <c r="F112" t="s">
        <v>257</v>
      </c>
      <c r="G112" t="s">
        <v>258</v>
      </c>
      <c r="H112">
        <v>2</v>
      </c>
      <c r="I112" t="str">
        <f>VLOOKUP(Table1[[#This Row],[NAME]],Table13[#All],2,FALSE)</f>
        <v>Si</v>
      </c>
      <c r="J112" t="str">
        <f>VLOOKUP(Table1[[#This Row],[NAME]],Table13[#All],4,FALSE)</f>
        <v>Azure Hybrid Benefit</v>
      </c>
      <c r="K112" t="str">
        <f>VLOOKUP(Table1[[#This Row],[NAME]],Table13[#All],5,FALSE)</f>
        <v>SQL2016-WS2016</v>
      </c>
    </row>
    <row r="113" spans="1:11" x14ac:dyDescent="0.25">
      <c r="A113" t="s">
        <v>259</v>
      </c>
      <c r="B113" t="s">
        <v>8</v>
      </c>
      <c r="C113" t="s">
        <v>9</v>
      </c>
      <c r="D113" t="s">
        <v>541</v>
      </c>
      <c r="E113" t="s">
        <v>45</v>
      </c>
      <c r="F113" t="s">
        <v>260</v>
      </c>
      <c r="G113" t="s">
        <v>261</v>
      </c>
      <c r="H113">
        <v>3</v>
      </c>
      <c r="I113" t="str">
        <f>VLOOKUP(Table1[[#This Row],[NAME]],Table13[#All],2,FALSE)</f>
        <v>Si</v>
      </c>
      <c r="J113" t="str">
        <f>VLOOKUP(Table1[[#This Row],[NAME]],Table13[#All],4,FALSE)</f>
        <v>Azure Hybrid Benefit</v>
      </c>
      <c r="K113" t="str">
        <f>VLOOKUP(Table1[[#This Row],[NAME]],Table13[#All],5,FALSE)</f>
        <v>SQL2016-WS2016</v>
      </c>
    </row>
    <row r="114" spans="1:11" x14ac:dyDescent="0.25">
      <c r="A114" t="s">
        <v>259</v>
      </c>
      <c r="B114" t="s">
        <v>14</v>
      </c>
      <c r="C114" t="s">
        <v>9</v>
      </c>
      <c r="D114" t="s">
        <v>541</v>
      </c>
      <c r="E114" t="s">
        <v>45</v>
      </c>
      <c r="F114" t="s">
        <v>262</v>
      </c>
      <c r="G114" t="s">
        <v>263</v>
      </c>
      <c r="H114">
        <v>3</v>
      </c>
      <c r="I114" t="str">
        <f>VLOOKUP(Table1[[#This Row],[NAME]],Table13[#All],2,FALSE)</f>
        <v>Si</v>
      </c>
      <c r="J114" t="str">
        <f>VLOOKUP(Table1[[#This Row],[NAME]],Table13[#All],4,FALSE)</f>
        <v>Azure Hybrid Benefit</v>
      </c>
      <c r="K114" t="str">
        <f>VLOOKUP(Table1[[#This Row],[NAME]],Table13[#All],5,FALSE)</f>
        <v>SQL2016-WS2016</v>
      </c>
    </row>
    <row r="115" spans="1:11" x14ac:dyDescent="0.25">
      <c r="A115" t="s">
        <v>264</v>
      </c>
      <c r="B115" t="s">
        <v>8</v>
      </c>
      <c r="C115" t="s">
        <v>9</v>
      </c>
      <c r="D115" t="s">
        <v>541</v>
      </c>
      <c r="E115" t="s">
        <v>45</v>
      </c>
      <c r="F115" t="s">
        <v>265</v>
      </c>
      <c r="G115" t="s">
        <v>12</v>
      </c>
      <c r="H115">
        <v>3</v>
      </c>
      <c r="I115" t="str">
        <f>VLOOKUP(Table1[[#This Row],[NAME]],Table13[#All],2,FALSE)</f>
        <v>Si</v>
      </c>
      <c r="J115" t="str">
        <f>VLOOKUP(Table1[[#This Row],[NAME]],Table13[#All],4,FALSE)</f>
        <v>Pay As You Go</v>
      </c>
      <c r="K115" t="str">
        <f>VLOOKUP(Table1[[#This Row],[NAME]],Table13[#All],5,FALSE)</f>
        <v>SQL2016-WS2019</v>
      </c>
    </row>
    <row r="116" spans="1:11" x14ac:dyDescent="0.25">
      <c r="A116" t="s">
        <v>266</v>
      </c>
      <c r="B116" t="s">
        <v>14</v>
      </c>
      <c r="C116" t="s">
        <v>9</v>
      </c>
      <c r="D116" t="s">
        <v>545</v>
      </c>
      <c r="E116" t="s">
        <v>167</v>
      </c>
      <c r="F116" t="s">
        <v>267</v>
      </c>
      <c r="G116" t="s">
        <v>12</v>
      </c>
      <c r="H116">
        <v>2</v>
      </c>
      <c r="I116" s="1" t="s">
        <v>12</v>
      </c>
      <c r="J116" s="1" t="s">
        <v>12</v>
      </c>
      <c r="K116" s="1" t="s">
        <v>12</v>
      </c>
    </row>
    <row r="117" spans="1:11" x14ac:dyDescent="0.25">
      <c r="A117" t="s">
        <v>268</v>
      </c>
      <c r="B117" t="s">
        <v>8</v>
      </c>
      <c r="C117" t="s">
        <v>9</v>
      </c>
      <c r="D117" t="s">
        <v>545</v>
      </c>
      <c r="E117" t="s">
        <v>10</v>
      </c>
      <c r="F117" t="s">
        <v>269</v>
      </c>
      <c r="G117" t="s">
        <v>12</v>
      </c>
      <c r="H117">
        <v>3</v>
      </c>
      <c r="I117" t="str">
        <f>VLOOKUP(Table1[[#This Row],[NAME]],Table13[#All],2,FALSE)</f>
        <v>Si</v>
      </c>
      <c r="J117" t="str">
        <f>VLOOKUP(Table1[[#This Row],[NAME]],Table13[#All],4,FALSE)</f>
        <v>Pay As You Go</v>
      </c>
      <c r="K117" t="str">
        <f>VLOOKUP(Table1[[#This Row],[NAME]],Table13[#All],5,FALSE)</f>
        <v>SQL2017-WS2016</v>
      </c>
    </row>
    <row r="118" spans="1:11" x14ac:dyDescent="0.25">
      <c r="A118" t="s">
        <v>270</v>
      </c>
      <c r="B118" t="s">
        <v>8</v>
      </c>
      <c r="C118" t="s">
        <v>9</v>
      </c>
      <c r="D118" t="s">
        <v>543</v>
      </c>
      <c r="E118" t="s">
        <v>10</v>
      </c>
      <c r="F118" t="s">
        <v>271</v>
      </c>
      <c r="G118" t="s">
        <v>12</v>
      </c>
      <c r="H118">
        <v>1</v>
      </c>
      <c r="I118" s="1" t="s">
        <v>12</v>
      </c>
      <c r="J118" s="1" t="s">
        <v>12</v>
      </c>
      <c r="K118" s="1" t="s">
        <v>12</v>
      </c>
    </row>
    <row r="119" spans="1:11" x14ac:dyDescent="0.25">
      <c r="A119" t="s">
        <v>272</v>
      </c>
      <c r="B119" t="s">
        <v>8</v>
      </c>
      <c r="C119" t="s">
        <v>9</v>
      </c>
      <c r="D119" t="s">
        <v>545</v>
      </c>
      <c r="E119" t="s">
        <v>32</v>
      </c>
      <c r="F119" t="s">
        <v>273</v>
      </c>
      <c r="G119" t="s">
        <v>12</v>
      </c>
      <c r="H119">
        <v>1</v>
      </c>
      <c r="I119" s="1" t="s">
        <v>12</v>
      </c>
      <c r="J119" s="1" t="s">
        <v>12</v>
      </c>
      <c r="K119" s="1" t="s">
        <v>12</v>
      </c>
    </row>
    <row r="120" spans="1:11" x14ac:dyDescent="0.25">
      <c r="A120" t="s">
        <v>274</v>
      </c>
      <c r="B120" t="s">
        <v>8</v>
      </c>
      <c r="C120" t="s">
        <v>9</v>
      </c>
      <c r="D120" t="s">
        <v>545</v>
      </c>
      <c r="E120" t="s">
        <v>32</v>
      </c>
      <c r="F120" t="s">
        <v>275</v>
      </c>
      <c r="G120" t="s">
        <v>12</v>
      </c>
      <c r="H120">
        <v>1</v>
      </c>
      <c r="I120" s="1" t="s">
        <v>12</v>
      </c>
      <c r="J120" s="1" t="s">
        <v>12</v>
      </c>
      <c r="K120" s="1" t="s">
        <v>12</v>
      </c>
    </row>
    <row r="121" spans="1:11" x14ac:dyDescent="0.25">
      <c r="A121" t="s">
        <v>276</v>
      </c>
      <c r="B121" t="s">
        <v>8</v>
      </c>
      <c r="C121" t="s">
        <v>9</v>
      </c>
      <c r="D121" t="s">
        <v>545</v>
      </c>
      <c r="E121" t="s">
        <v>32</v>
      </c>
      <c r="F121" t="s">
        <v>277</v>
      </c>
      <c r="G121" t="s">
        <v>12</v>
      </c>
      <c r="H121">
        <v>1</v>
      </c>
      <c r="I121" s="1" t="s">
        <v>12</v>
      </c>
      <c r="J121" s="1" t="s">
        <v>12</v>
      </c>
      <c r="K121" s="1" t="s">
        <v>12</v>
      </c>
    </row>
    <row r="122" spans="1:11" x14ac:dyDescent="0.25">
      <c r="A122" t="s">
        <v>278</v>
      </c>
      <c r="B122" t="s">
        <v>8</v>
      </c>
      <c r="C122" t="s">
        <v>9</v>
      </c>
      <c r="D122" t="s">
        <v>545</v>
      </c>
      <c r="E122" t="s">
        <v>32</v>
      </c>
      <c r="F122" t="s">
        <v>279</v>
      </c>
      <c r="G122" t="s">
        <v>12</v>
      </c>
      <c r="H122">
        <v>1</v>
      </c>
      <c r="I122" s="1" t="s">
        <v>12</v>
      </c>
      <c r="J122" s="1" t="s">
        <v>12</v>
      </c>
      <c r="K122" s="1" t="s">
        <v>12</v>
      </c>
    </row>
    <row r="123" spans="1:11" x14ac:dyDescent="0.25">
      <c r="A123" t="s">
        <v>280</v>
      </c>
      <c r="B123" t="s">
        <v>8</v>
      </c>
      <c r="C123" t="s">
        <v>9</v>
      </c>
      <c r="D123" t="s">
        <v>546</v>
      </c>
      <c r="E123" t="s">
        <v>21</v>
      </c>
      <c r="F123" t="s">
        <v>281</v>
      </c>
      <c r="G123" t="s">
        <v>12</v>
      </c>
      <c r="H123">
        <v>4</v>
      </c>
      <c r="I123" t="str">
        <f>VLOOKUP(Table1[[#This Row],[NAME]],Table13[#All],2,FALSE)</f>
        <v>Si</v>
      </c>
      <c r="J123" t="str">
        <f>VLOOKUP(Table1[[#This Row],[NAME]],Table13[#All],4,FALSE)</f>
        <v>Pay As You Go</v>
      </c>
      <c r="K123" t="str">
        <f>VLOOKUP(Table1[[#This Row],[NAME]],Table13[#All],5,FALSE)</f>
        <v>SQL2019-WS2019</v>
      </c>
    </row>
    <row r="124" spans="1:11" x14ac:dyDescent="0.25">
      <c r="A124" t="s">
        <v>282</v>
      </c>
      <c r="B124" t="s">
        <v>8</v>
      </c>
      <c r="C124" t="s">
        <v>9</v>
      </c>
      <c r="D124" t="s">
        <v>545</v>
      </c>
      <c r="E124" t="s">
        <v>32</v>
      </c>
      <c r="F124" t="s">
        <v>283</v>
      </c>
      <c r="G124" t="s">
        <v>12</v>
      </c>
      <c r="H124">
        <v>1</v>
      </c>
      <c r="I124" s="1" t="s">
        <v>12</v>
      </c>
      <c r="J124" s="1" t="s">
        <v>12</v>
      </c>
      <c r="K124" s="1" t="s">
        <v>12</v>
      </c>
    </row>
    <row r="125" spans="1:11" x14ac:dyDescent="0.25">
      <c r="A125" t="s">
        <v>284</v>
      </c>
      <c r="B125" t="s">
        <v>8</v>
      </c>
      <c r="C125" t="s">
        <v>9</v>
      </c>
      <c r="D125" t="s">
        <v>545</v>
      </c>
      <c r="E125" t="s">
        <v>226</v>
      </c>
      <c r="F125" t="s">
        <v>285</v>
      </c>
      <c r="G125" t="s">
        <v>12</v>
      </c>
      <c r="H125">
        <v>1</v>
      </c>
      <c r="I125" s="1" t="s">
        <v>12</v>
      </c>
      <c r="J125" s="1" t="s">
        <v>12</v>
      </c>
      <c r="K125" s="1" t="s">
        <v>12</v>
      </c>
    </row>
    <row r="126" spans="1:11" x14ac:dyDescent="0.25">
      <c r="A126" t="s">
        <v>286</v>
      </c>
      <c r="B126" t="s">
        <v>14</v>
      </c>
      <c r="C126" t="s">
        <v>9</v>
      </c>
      <c r="D126" t="s">
        <v>545</v>
      </c>
      <c r="E126" t="s">
        <v>50</v>
      </c>
      <c r="F126" t="s">
        <v>287</v>
      </c>
      <c r="G126" t="s">
        <v>12</v>
      </c>
      <c r="H126">
        <v>1</v>
      </c>
      <c r="I126" s="1" t="s">
        <v>12</v>
      </c>
      <c r="J126" s="1" t="s">
        <v>12</v>
      </c>
      <c r="K126" s="1" t="s">
        <v>12</v>
      </c>
    </row>
    <row r="127" spans="1:11" x14ac:dyDescent="0.25">
      <c r="A127" t="s">
        <v>288</v>
      </c>
      <c r="B127" t="s">
        <v>8</v>
      </c>
      <c r="C127" t="s">
        <v>9</v>
      </c>
      <c r="D127" t="s">
        <v>545</v>
      </c>
      <c r="E127" t="s">
        <v>18</v>
      </c>
      <c r="F127" t="s">
        <v>289</v>
      </c>
      <c r="G127" t="s">
        <v>12</v>
      </c>
      <c r="H127">
        <v>2</v>
      </c>
      <c r="I127" t="str">
        <f>VLOOKUP(Table1[[#This Row],[NAME]],Table13[#All],2,FALSE)</f>
        <v>Si</v>
      </c>
      <c r="J127" t="str">
        <f>VLOOKUP(Table1[[#This Row],[NAME]],Table13[#All],4,FALSE)</f>
        <v>Pay As You Go</v>
      </c>
      <c r="K127" t="str">
        <f>VLOOKUP(Table1[[#This Row],[NAME]],Table13[#All],5,FALSE)</f>
        <v>SQL2016-WS2016</v>
      </c>
    </row>
    <row r="128" spans="1:11" x14ac:dyDescent="0.25">
      <c r="A128" t="s">
        <v>290</v>
      </c>
      <c r="B128" t="s">
        <v>8</v>
      </c>
      <c r="C128" t="s">
        <v>9</v>
      </c>
      <c r="D128" t="s">
        <v>545</v>
      </c>
      <c r="E128" t="s">
        <v>50</v>
      </c>
      <c r="F128" t="s">
        <v>291</v>
      </c>
      <c r="G128" t="s">
        <v>12</v>
      </c>
      <c r="H128">
        <v>3</v>
      </c>
      <c r="I128" t="str">
        <f>VLOOKUP(Table1[[#This Row],[NAME]],Table13[#All],2,FALSE)</f>
        <v>Si</v>
      </c>
      <c r="J128" t="str">
        <f>VLOOKUP(Table1[[#This Row],[NAME]],Table13[#All],4,FALSE)</f>
        <v>Pay As You Go</v>
      </c>
      <c r="K128" t="str">
        <f>VLOOKUP(Table1[[#This Row],[NAME]],Table13[#All],5,FALSE)</f>
        <v>SQL2016-WS2016</v>
      </c>
    </row>
    <row r="129" spans="1:11" x14ac:dyDescent="0.25">
      <c r="A129" t="s">
        <v>292</v>
      </c>
      <c r="B129" t="s">
        <v>8</v>
      </c>
      <c r="C129" t="s">
        <v>9</v>
      </c>
      <c r="D129" t="s">
        <v>545</v>
      </c>
      <c r="E129" t="s">
        <v>10</v>
      </c>
      <c r="F129" t="s">
        <v>293</v>
      </c>
      <c r="G129" t="s">
        <v>12</v>
      </c>
      <c r="H129">
        <v>1</v>
      </c>
      <c r="I129" s="1" t="s">
        <v>12</v>
      </c>
      <c r="J129" s="1" t="s">
        <v>12</v>
      </c>
      <c r="K129" s="1" t="s">
        <v>12</v>
      </c>
    </row>
    <row r="130" spans="1:11" x14ac:dyDescent="0.25">
      <c r="A130" t="s">
        <v>292</v>
      </c>
      <c r="B130" t="s">
        <v>8</v>
      </c>
      <c r="C130" t="s">
        <v>9</v>
      </c>
      <c r="D130" t="s">
        <v>545</v>
      </c>
      <c r="E130" t="s">
        <v>176</v>
      </c>
      <c r="F130" t="s">
        <v>294</v>
      </c>
      <c r="G130" t="s">
        <v>12</v>
      </c>
      <c r="H130">
        <v>1</v>
      </c>
      <c r="I130" s="1" t="s">
        <v>12</v>
      </c>
      <c r="J130" s="1" t="s">
        <v>12</v>
      </c>
      <c r="K130" s="1" t="s">
        <v>12</v>
      </c>
    </row>
    <row r="131" spans="1:11" x14ac:dyDescent="0.25">
      <c r="A131" t="s">
        <v>295</v>
      </c>
      <c r="B131" t="s">
        <v>8</v>
      </c>
      <c r="C131" t="s">
        <v>9</v>
      </c>
      <c r="D131" t="s">
        <v>545</v>
      </c>
      <c r="E131" t="s">
        <v>18</v>
      </c>
      <c r="F131" t="s">
        <v>296</v>
      </c>
      <c r="G131" t="s">
        <v>12</v>
      </c>
      <c r="H131">
        <v>2</v>
      </c>
      <c r="I131" t="str">
        <f>VLOOKUP(Table1[[#This Row],[NAME]],Table13[#All],2,FALSE)</f>
        <v>Si</v>
      </c>
      <c r="J131" t="str">
        <f>VLOOKUP(Table1[[#This Row],[NAME]],Table13[#All],4,FALSE)</f>
        <v>Pay As You Go</v>
      </c>
      <c r="K131" t="str">
        <f>VLOOKUP(Table1[[#This Row],[NAME]],Table13[#All],5,FALSE)</f>
        <v>SQL2016-WS2016</v>
      </c>
    </row>
    <row r="132" spans="1:11" x14ac:dyDescent="0.25">
      <c r="A132" t="s">
        <v>297</v>
      </c>
      <c r="B132" t="s">
        <v>14</v>
      </c>
      <c r="C132" t="s">
        <v>9</v>
      </c>
      <c r="D132" t="s">
        <v>545</v>
      </c>
      <c r="E132" t="s">
        <v>35</v>
      </c>
      <c r="F132" t="s">
        <v>298</v>
      </c>
      <c r="G132" t="s">
        <v>12</v>
      </c>
      <c r="H132">
        <v>2</v>
      </c>
      <c r="I132" s="1" t="s">
        <v>12</v>
      </c>
      <c r="J132" s="1" t="s">
        <v>12</v>
      </c>
      <c r="K132" s="1" t="s">
        <v>12</v>
      </c>
    </row>
    <row r="133" spans="1:11" x14ac:dyDescent="0.25">
      <c r="A133" t="s">
        <v>299</v>
      </c>
      <c r="B133" t="s">
        <v>8</v>
      </c>
      <c r="C133" t="s">
        <v>9</v>
      </c>
      <c r="D133" t="s">
        <v>546</v>
      </c>
      <c r="E133" t="s">
        <v>114</v>
      </c>
      <c r="F133" t="s">
        <v>300</v>
      </c>
      <c r="G133" t="s">
        <v>12</v>
      </c>
      <c r="H133">
        <v>2</v>
      </c>
      <c r="I133" t="str">
        <f>VLOOKUP(Table1[[#This Row],[NAME]],Table13[#All],2,FALSE)</f>
        <v>Si</v>
      </c>
      <c r="J133" t="str">
        <f>VLOOKUP(Table1[[#This Row],[NAME]],Table13[#All],4,FALSE)</f>
        <v>Pay As You Go</v>
      </c>
      <c r="K133" t="str">
        <f>VLOOKUP(Table1[[#This Row],[NAME]],Table13[#All],5,FALSE)</f>
        <v>SQL2017-WS2019</v>
      </c>
    </row>
    <row r="134" spans="1:11" x14ac:dyDescent="0.25">
      <c r="A134" t="s">
        <v>301</v>
      </c>
      <c r="B134" t="s">
        <v>8</v>
      </c>
      <c r="C134" t="s">
        <v>9</v>
      </c>
      <c r="D134" t="s">
        <v>545</v>
      </c>
      <c r="E134" t="s">
        <v>10</v>
      </c>
      <c r="F134" t="s">
        <v>302</v>
      </c>
      <c r="G134" t="s">
        <v>12</v>
      </c>
      <c r="H134">
        <v>2</v>
      </c>
      <c r="I134" t="str">
        <f>VLOOKUP(Table1[[#This Row],[NAME]],Table13[#All],2,FALSE)</f>
        <v>Si</v>
      </c>
      <c r="J134" t="str">
        <f>VLOOKUP(Table1[[#This Row],[NAME]],Table13[#All],4,FALSE)</f>
        <v>Pay As You Go</v>
      </c>
      <c r="K134" t="str">
        <f>VLOOKUP(Table1[[#This Row],[NAME]],Table13[#All],5,FALSE)</f>
        <v>SQL2019-WS2016</v>
      </c>
    </row>
    <row r="135" spans="1:11" x14ac:dyDescent="0.25">
      <c r="A135" t="s">
        <v>303</v>
      </c>
      <c r="B135" t="s">
        <v>8</v>
      </c>
      <c r="C135" t="s">
        <v>9</v>
      </c>
      <c r="D135" t="s">
        <v>545</v>
      </c>
      <c r="E135" t="s">
        <v>18</v>
      </c>
      <c r="F135" t="s">
        <v>304</v>
      </c>
      <c r="G135" t="s">
        <v>12</v>
      </c>
      <c r="H135">
        <v>1</v>
      </c>
      <c r="I135" s="1" t="s">
        <v>12</v>
      </c>
      <c r="J135" s="1" t="s">
        <v>12</v>
      </c>
      <c r="K135" s="1" t="s">
        <v>12</v>
      </c>
    </row>
    <row r="136" spans="1:11" x14ac:dyDescent="0.25">
      <c r="A136" t="s">
        <v>305</v>
      </c>
      <c r="B136" t="s">
        <v>8</v>
      </c>
      <c r="C136" t="s">
        <v>9</v>
      </c>
      <c r="D136" t="s">
        <v>545</v>
      </c>
      <c r="E136" t="s">
        <v>21</v>
      </c>
      <c r="F136" t="s">
        <v>306</v>
      </c>
      <c r="G136" t="s">
        <v>12</v>
      </c>
      <c r="H136">
        <v>4</v>
      </c>
      <c r="I136" t="str">
        <f>VLOOKUP(Table1[[#This Row],[NAME]],Table13[#All],2,FALSE)</f>
        <v>Si</v>
      </c>
      <c r="J136" t="str">
        <f>VLOOKUP(Table1[[#This Row],[NAME]],Table13[#All],4,FALSE)</f>
        <v>Pay As You Go</v>
      </c>
      <c r="K136" t="str">
        <f>VLOOKUP(Table1[[#This Row],[NAME]],Table13[#All],5,FALSE)</f>
        <v>SQL2017-WS2016</v>
      </c>
    </row>
    <row r="137" spans="1:11" x14ac:dyDescent="0.25">
      <c r="A137" t="s">
        <v>307</v>
      </c>
      <c r="B137" t="s">
        <v>8</v>
      </c>
      <c r="C137" t="s">
        <v>9</v>
      </c>
      <c r="D137" t="s">
        <v>545</v>
      </c>
      <c r="E137" t="s">
        <v>308</v>
      </c>
      <c r="F137" t="s">
        <v>309</v>
      </c>
      <c r="G137" t="s">
        <v>12</v>
      </c>
      <c r="H137">
        <v>2</v>
      </c>
      <c r="I137" s="1" t="s">
        <v>12</v>
      </c>
      <c r="J137" s="1" t="s">
        <v>12</v>
      </c>
      <c r="K137" s="1" t="s">
        <v>12</v>
      </c>
    </row>
    <row r="138" spans="1:11" x14ac:dyDescent="0.25">
      <c r="A138" t="s">
        <v>310</v>
      </c>
      <c r="B138" t="s">
        <v>8</v>
      </c>
      <c r="C138" t="s">
        <v>9</v>
      </c>
      <c r="D138" t="s">
        <v>545</v>
      </c>
      <c r="E138" t="s">
        <v>311</v>
      </c>
      <c r="F138" t="s">
        <v>312</v>
      </c>
      <c r="G138" t="s">
        <v>12</v>
      </c>
      <c r="H138">
        <v>3</v>
      </c>
      <c r="I138" t="str">
        <f>VLOOKUP(Table1[[#This Row],[NAME]],Table13[#All],2,FALSE)</f>
        <v>Si</v>
      </c>
      <c r="J138" t="str">
        <f>VLOOKUP(Table1[[#This Row],[NAME]],Table13[#All],4,FALSE)</f>
        <v>Pay As You Go</v>
      </c>
      <c r="K138" t="str">
        <f>VLOOKUP(Table1[[#This Row],[NAME]],Table13[#All],5,FALSE)</f>
        <v>SQL2017-WS2016</v>
      </c>
    </row>
    <row r="139" spans="1:11" x14ac:dyDescent="0.25">
      <c r="A139" t="s">
        <v>313</v>
      </c>
      <c r="B139" t="s">
        <v>8</v>
      </c>
      <c r="C139" t="s">
        <v>9</v>
      </c>
      <c r="D139" t="s">
        <v>545</v>
      </c>
      <c r="E139" t="s">
        <v>32</v>
      </c>
      <c r="F139" t="s">
        <v>314</v>
      </c>
      <c r="G139" t="s">
        <v>12</v>
      </c>
      <c r="H139">
        <v>1</v>
      </c>
      <c r="I139" s="1" t="s">
        <v>12</v>
      </c>
      <c r="J139" s="1" t="s">
        <v>12</v>
      </c>
      <c r="K139" s="1" t="s">
        <v>12</v>
      </c>
    </row>
    <row r="140" spans="1:11" x14ac:dyDescent="0.25">
      <c r="A140" t="s">
        <v>315</v>
      </c>
      <c r="B140" t="s">
        <v>8</v>
      </c>
      <c r="C140" t="s">
        <v>9</v>
      </c>
      <c r="D140" t="s">
        <v>545</v>
      </c>
      <c r="E140" t="s">
        <v>45</v>
      </c>
      <c r="F140" t="s">
        <v>316</v>
      </c>
      <c r="G140" t="s">
        <v>12</v>
      </c>
      <c r="H140">
        <v>1</v>
      </c>
      <c r="I140" s="1" t="s">
        <v>12</v>
      </c>
      <c r="J140" s="1" t="s">
        <v>12</v>
      </c>
      <c r="K140" s="1" t="s">
        <v>12</v>
      </c>
    </row>
    <row r="141" spans="1:11" x14ac:dyDescent="0.25">
      <c r="A141" t="s">
        <v>317</v>
      </c>
      <c r="B141" t="s">
        <v>8</v>
      </c>
      <c r="C141" t="s">
        <v>9</v>
      </c>
      <c r="D141" t="s">
        <v>546</v>
      </c>
      <c r="E141" t="s">
        <v>35</v>
      </c>
      <c r="F141" t="s">
        <v>318</v>
      </c>
      <c r="G141" t="s">
        <v>12</v>
      </c>
      <c r="H141">
        <v>3</v>
      </c>
      <c r="I141" s="1" t="s">
        <v>12</v>
      </c>
      <c r="J141" s="1" t="s">
        <v>12</v>
      </c>
      <c r="K141" s="1" t="s">
        <v>12</v>
      </c>
    </row>
    <row r="142" spans="1:11" x14ac:dyDescent="0.25">
      <c r="A142" t="s">
        <v>319</v>
      </c>
      <c r="B142" t="s">
        <v>14</v>
      </c>
      <c r="C142" t="s">
        <v>9</v>
      </c>
      <c r="D142" t="s">
        <v>545</v>
      </c>
      <c r="E142" t="s">
        <v>35</v>
      </c>
      <c r="F142" t="s">
        <v>320</v>
      </c>
      <c r="G142" t="s">
        <v>12</v>
      </c>
      <c r="H142">
        <v>2</v>
      </c>
      <c r="I142" s="1" t="s">
        <v>12</v>
      </c>
      <c r="J142" s="1" t="s">
        <v>12</v>
      </c>
      <c r="K142" s="1" t="s">
        <v>12</v>
      </c>
    </row>
    <row r="143" spans="1:11" x14ac:dyDescent="0.25">
      <c r="A143" t="s">
        <v>321</v>
      </c>
      <c r="B143" t="s">
        <v>8</v>
      </c>
      <c r="C143" t="s">
        <v>9</v>
      </c>
      <c r="D143" t="s">
        <v>546</v>
      </c>
      <c r="E143" t="s">
        <v>167</v>
      </c>
      <c r="F143" t="s">
        <v>322</v>
      </c>
      <c r="G143" t="s">
        <v>12</v>
      </c>
      <c r="H143">
        <v>1</v>
      </c>
      <c r="I143" s="1" t="s">
        <v>12</v>
      </c>
      <c r="J143" s="1" t="s">
        <v>12</v>
      </c>
      <c r="K143" s="1" t="s">
        <v>12</v>
      </c>
    </row>
    <row r="144" spans="1:11" x14ac:dyDescent="0.25">
      <c r="A144" t="s">
        <v>323</v>
      </c>
      <c r="B144" t="s">
        <v>8</v>
      </c>
      <c r="C144" t="s">
        <v>9</v>
      </c>
      <c r="D144" t="s">
        <v>546</v>
      </c>
      <c r="E144" t="s">
        <v>235</v>
      </c>
      <c r="F144" t="s">
        <v>324</v>
      </c>
      <c r="G144" t="s">
        <v>12</v>
      </c>
      <c r="H144">
        <v>1</v>
      </c>
      <c r="I144" s="1" t="s">
        <v>12</v>
      </c>
      <c r="J144" s="1" t="s">
        <v>12</v>
      </c>
      <c r="K144" s="1" t="s">
        <v>12</v>
      </c>
    </row>
    <row r="145" spans="1:11" x14ac:dyDescent="0.25">
      <c r="A145" t="s">
        <v>325</v>
      </c>
      <c r="B145" t="s">
        <v>8</v>
      </c>
      <c r="C145" t="s">
        <v>9</v>
      </c>
      <c r="D145" t="s">
        <v>545</v>
      </c>
      <c r="E145" t="s">
        <v>167</v>
      </c>
      <c r="F145" t="s">
        <v>326</v>
      </c>
      <c r="G145" t="s">
        <v>12</v>
      </c>
      <c r="H145">
        <v>1</v>
      </c>
      <c r="I145" s="1" t="s">
        <v>12</v>
      </c>
      <c r="J145" s="1" t="s">
        <v>12</v>
      </c>
      <c r="K145" s="1" t="s">
        <v>12</v>
      </c>
    </row>
    <row r="146" spans="1:11" x14ac:dyDescent="0.25">
      <c r="A146" t="s">
        <v>327</v>
      </c>
      <c r="B146" t="s">
        <v>8</v>
      </c>
      <c r="C146" t="s">
        <v>9</v>
      </c>
      <c r="D146" t="s">
        <v>545</v>
      </c>
      <c r="E146" t="s">
        <v>167</v>
      </c>
      <c r="F146" t="s">
        <v>328</v>
      </c>
      <c r="G146" t="s">
        <v>12</v>
      </c>
      <c r="H146">
        <v>1</v>
      </c>
      <c r="I146" s="1" t="s">
        <v>12</v>
      </c>
      <c r="J146" s="1" t="s">
        <v>12</v>
      </c>
      <c r="K146" s="1" t="s">
        <v>12</v>
      </c>
    </row>
    <row r="147" spans="1:11" x14ac:dyDescent="0.25">
      <c r="A147" t="s">
        <v>329</v>
      </c>
      <c r="B147" t="s">
        <v>8</v>
      </c>
      <c r="C147" t="s">
        <v>9</v>
      </c>
      <c r="D147" t="s">
        <v>545</v>
      </c>
      <c r="E147" t="s">
        <v>167</v>
      </c>
      <c r="F147" t="s">
        <v>330</v>
      </c>
      <c r="G147" t="s">
        <v>12</v>
      </c>
      <c r="H147">
        <v>1</v>
      </c>
      <c r="I147" s="1" t="s">
        <v>12</v>
      </c>
      <c r="J147" s="1" t="s">
        <v>12</v>
      </c>
      <c r="K147" s="1" t="s">
        <v>12</v>
      </c>
    </row>
    <row r="148" spans="1:11" x14ac:dyDescent="0.25">
      <c r="A148" t="s">
        <v>331</v>
      </c>
      <c r="B148" t="s">
        <v>8</v>
      </c>
      <c r="C148" t="s">
        <v>9</v>
      </c>
      <c r="D148" t="s">
        <v>545</v>
      </c>
      <c r="E148" t="s">
        <v>10</v>
      </c>
      <c r="F148" t="s">
        <v>332</v>
      </c>
      <c r="G148" t="s">
        <v>12</v>
      </c>
      <c r="H148">
        <v>3</v>
      </c>
      <c r="I148" t="str">
        <f>VLOOKUP(Table1[[#This Row],[NAME]],Table13[#All],2,FALSE)</f>
        <v>Si</v>
      </c>
      <c r="J148" t="str">
        <f>VLOOKUP(Table1[[#This Row],[NAME]],Table13[#All],4,FALSE)</f>
        <v>Pay As You Go</v>
      </c>
      <c r="K148" t="str">
        <f>VLOOKUP(Table1[[#This Row],[NAME]],Table13[#All],5,FALSE)</f>
        <v>SQL2017-WS2016</v>
      </c>
    </row>
    <row r="149" spans="1:11" x14ac:dyDescent="0.25">
      <c r="A149" t="s">
        <v>331</v>
      </c>
      <c r="B149" t="s">
        <v>8</v>
      </c>
      <c r="C149" t="s">
        <v>9</v>
      </c>
      <c r="D149" t="s">
        <v>545</v>
      </c>
      <c r="E149" t="s">
        <v>10</v>
      </c>
      <c r="F149" t="s">
        <v>333</v>
      </c>
      <c r="G149" t="s">
        <v>12</v>
      </c>
      <c r="H149">
        <v>3</v>
      </c>
      <c r="I149" t="str">
        <f>VLOOKUP(Table1[[#This Row],[NAME]],Table13[#All],2,FALSE)</f>
        <v>Si</v>
      </c>
      <c r="J149" t="str">
        <f>VLOOKUP(Table1[[#This Row],[NAME]],Table13[#All],4,FALSE)</f>
        <v>Pay As You Go</v>
      </c>
      <c r="K149" t="str">
        <f>VLOOKUP(Table1[[#This Row],[NAME]],Table13[#All],5,FALSE)</f>
        <v>SQL2017-WS2016</v>
      </c>
    </row>
    <row r="150" spans="1:11" x14ac:dyDescent="0.25">
      <c r="A150" t="s">
        <v>334</v>
      </c>
      <c r="B150" t="s">
        <v>8</v>
      </c>
      <c r="C150" t="s">
        <v>9</v>
      </c>
      <c r="D150" t="s">
        <v>545</v>
      </c>
      <c r="E150" t="s">
        <v>10</v>
      </c>
      <c r="F150" t="s">
        <v>335</v>
      </c>
      <c r="G150" t="s">
        <v>12</v>
      </c>
      <c r="H150">
        <v>1</v>
      </c>
      <c r="I150" s="1" t="s">
        <v>12</v>
      </c>
      <c r="J150" s="1" t="s">
        <v>12</v>
      </c>
      <c r="K150" s="1" t="s">
        <v>12</v>
      </c>
    </row>
    <row r="151" spans="1:11" x14ac:dyDescent="0.25">
      <c r="A151" t="s">
        <v>336</v>
      </c>
      <c r="B151" t="s">
        <v>8</v>
      </c>
      <c r="C151" t="s">
        <v>9</v>
      </c>
      <c r="D151" t="s">
        <v>545</v>
      </c>
      <c r="E151" t="s">
        <v>10</v>
      </c>
      <c r="F151" t="s">
        <v>337</v>
      </c>
      <c r="G151" t="s">
        <v>12</v>
      </c>
      <c r="H151">
        <v>1</v>
      </c>
      <c r="I151" s="1" t="s">
        <v>12</v>
      </c>
      <c r="J151" s="1" t="s">
        <v>12</v>
      </c>
      <c r="K151" s="1" t="s">
        <v>12</v>
      </c>
    </row>
    <row r="152" spans="1:11" x14ac:dyDescent="0.25">
      <c r="A152" t="s">
        <v>338</v>
      </c>
      <c r="B152" t="s">
        <v>8</v>
      </c>
      <c r="C152" t="s">
        <v>9</v>
      </c>
      <c r="D152" t="s">
        <v>545</v>
      </c>
      <c r="E152" t="s">
        <v>10</v>
      </c>
      <c r="F152" t="s">
        <v>339</v>
      </c>
      <c r="G152" t="s">
        <v>12</v>
      </c>
      <c r="H152">
        <v>1</v>
      </c>
      <c r="I152" s="1" t="s">
        <v>12</v>
      </c>
      <c r="J152" s="1" t="s">
        <v>12</v>
      </c>
      <c r="K152" s="1" t="s">
        <v>12</v>
      </c>
    </row>
    <row r="153" spans="1:11" x14ac:dyDescent="0.25">
      <c r="A153" t="s">
        <v>340</v>
      </c>
      <c r="B153" t="s">
        <v>8</v>
      </c>
      <c r="C153" t="s">
        <v>9</v>
      </c>
      <c r="D153" t="s">
        <v>545</v>
      </c>
      <c r="E153" t="s">
        <v>45</v>
      </c>
      <c r="F153" t="s">
        <v>341</v>
      </c>
      <c r="G153" t="s">
        <v>12</v>
      </c>
      <c r="H153">
        <v>3</v>
      </c>
      <c r="I153" t="str">
        <f>VLOOKUP(Table1[[#This Row],[NAME]],Table13[#All],2,FALSE)</f>
        <v>Si</v>
      </c>
      <c r="J153" t="str">
        <f>VLOOKUP(Table1[[#This Row],[NAME]],Table13[#All],4,FALSE)</f>
        <v>Azure Hybrid Benefit</v>
      </c>
      <c r="K153" t="str">
        <f>VLOOKUP(Table1[[#This Row],[NAME]],Table13[#All],5,FALSE)</f>
        <v>SQL2016-WS2016</v>
      </c>
    </row>
    <row r="154" spans="1:11" x14ac:dyDescent="0.25">
      <c r="A154" t="s">
        <v>342</v>
      </c>
      <c r="B154" t="s">
        <v>8</v>
      </c>
      <c r="C154" t="s">
        <v>9</v>
      </c>
      <c r="D154" t="s">
        <v>545</v>
      </c>
      <c r="E154" t="s">
        <v>167</v>
      </c>
      <c r="F154" t="s">
        <v>343</v>
      </c>
      <c r="G154" t="s">
        <v>12</v>
      </c>
      <c r="H154">
        <v>1</v>
      </c>
      <c r="I154" s="1" t="s">
        <v>12</v>
      </c>
      <c r="J154" s="1" t="s">
        <v>12</v>
      </c>
      <c r="K154" s="1" t="s">
        <v>12</v>
      </c>
    </row>
    <row r="155" spans="1:11" x14ac:dyDescent="0.25">
      <c r="A155" t="s">
        <v>344</v>
      </c>
      <c r="B155" t="s">
        <v>8</v>
      </c>
      <c r="C155" t="s">
        <v>9</v>
      </c>
      <c r="D155" t="s">
        <v>545</v>
      </c>
      <c r="E155" t="s">
        <v>50</v>
      </c>
      <c r="F155" t="s">
        <v>345</v>
      </c>
      <c r="G155" t="s">
        <v>12</v>
      </c>
      <c r="H155">
        <v>2</v>
      </c>
      <c r="I155" s="1" t="s">
        <v>12</v>
      </c>
      <c r="J155" s="1" t="s">
        <v>12</v>
      </c>
      <c r="K155" s="1" t="s">
        <v>12</v>
      </c>
    </row>
    <row r="156" spans="1:11" x14ac:dyDescent="0.25">
      <c r="A156" t="s">
        <v>346</v>
      </c>
      <c r="B156" t="s">
        <v>14</v>
      </c>
      <c r="C156" t="s">
        <v>9</v>
      </c>
      <c r="D156" t="s">
        <v>545</v>
      </c>
      <c r="E156" t="s">
        <v>35</v>
      </c>
      <c r="F156" t="s">
        <v>347</v>
      </c>
      <c r="G156" t="s">
        <v>12</v>
      </c>
      <c r="H156">
        <v>3</v>
      </c>
      <c r="I156" t="str">
        <f>VLOOKUP(Table1[[#This Row],[NAME]],Table13[#All],2,FALSE)</f>
        <v>Si</v>
      </c>
      <c r="J156" t="str">
        <f>VLOOKUP(Table1[[#This Row],[NAME]],Table13[#All],4,FALSE)</f>
        <v>Azure Hybrid Benefit</v>
      </c>
      <c r="K156" t="str">
        <f>VLOOKUP(Table1[[#This Row],[NAME]],Table13[#All],5,FALSE)</f>
        <v>SQL2012-WS2012R2</v>
      </c>
    </row>
    <row r="157" spans="1:11" x14ac:dyDescent="0.25">
      <c r="A157" t="s">
        <v>348</v>
      </c>
      <c r="B157" t="s">
        <v>8</v>
      </c>
      <c r="C157" t="s">
        <v>9</v>
      </c>
      <c r="D157" t="s">
        <v>545</v>
      </c>
      <c r="E157" t="s">
        <v>21</v>
      </c>
      <c r="F157" t="s">
        <v>349</v>
      </c>
      <c r="G157" t="s">
        <v>12</v>
      </c>
      <c r="H157">
        <v>3</v>
      </c>
      <c r="I157" s="1" t="s">
        <v>12</v>
      </c>
      <c r="J157" s="1" t="s">
        <v>12</v>
      </c>
      <c r="K157" s="1" t="s">
        <v>12</v>
      </c>
    </row>
    <row r="158" spans="1:11" x14ac:dyDescent="0.25">
      <c r="A158" t="s">
        <v>350</v>
      </c>
      <c r="B158" t="s">
        <v>14</v>
      </c>
      <c r="C158" t="s">
        <v>9</v>
      </c>
      <c r="D158" t="s">
        <v>545</v>
      </c>
      <c r="E158" t="s">
        <v>45</v>
      </c>
      <c r="F158" t="s">
        <v>351</v>
      </c>
      <c r="G158" t="s">
        <v>12</v>
      </c>
      <c r="H158">
        <v>3</v>
      </c>
      <c r="I158" t="str">
        <f>VLOOKUP(Table1[[#This Row],[NAME]],Table13[#All],2,FALSE)</f>
        <v>Si</v>
      </c>
      <c r="J158" t="str">
        <f>VLOOKUP(Table1[[#This Row],[NAME]],Table13[#All],4,FALSE)</f>
        <v>Azure Hybrid Benefit</v>
      </c>
      <c r="K158" t="str">
        <f>VLOOKUP(Table1[[#This Row],[NAME]],Table13[#All],5,FALSE)</f>
        <v>SQL2016-WS2016</v>
      </c>
    </row>
    <row r="159" spans="1:11" x14ac:dyDescent="0.25">
      <c r="A159" t="s">
        <v>352</v>
      </c>
      <c r="B159" t="s">
        <v>14</v>
      </c>
      <c r="C159" t="s">
        <v>9</v>
      </c>
      <c r="D159" t="s">
        <v>545</v>
      </c>
      <c r="E159" t="s">
        <v>45</v>
      </c>
      <c r="F159" t="s">
        <v>353</v>
      </c>
      <c r="G159" t="s">
        <v>12</v>
      </c>
      <c r="H159">
        <v>2</v>
      </c>
      <c r="I159" s="1" t="s">
        <v>12</v>
      </c>
      <c r="J159" s="1" t="s">
        <v>12</v>
      </c>
      <c r="K159" s="1" t="s">
        <v>12</v>
      </c>
    </row>
    <row r="160" spans="1:11" x14ac:dyDescent="0.25">
      <c r="A160" t="s">
        <v>354</v>
      </c>
      <c r="B160" t="s">
        <v>8</v>
      </c>
      <c r="C160" t="s">
        <v>9</v>
      </c>
      <c r="D160" t="s">
        <v>547</v>
      </c>
      <c r="E160" t="s">
        <v>10</v>
      </c>
      <c r="F160" t="s">
        <v>355</v>
      </c>
      <c r="G160" t="s">
        <v>356</v>
      </c>
      <c r="H160">
        <v>1</v>
      </c>
      <c r="I160" s="1" t="s">
        <v>12</v>
      </c>
      <c r="J160" s="1" t="s">
        <v>12</v>
      </c>
      <c r="K160" s="1" t="s">
        <v>12</v>
      </c>
    </row>
    <row r="161" spans="1:11" x14ac:dyDescent="0.25">
      <c r="A161" t="s">
        <v>357</v>
      </c>
      <c r="B161" t="s">
        <v>8</v>
      </c>
      <c r="C161" t="s">
        <v>9</v>
      </c>
      <c r="D161" t="s">
        <v>547</v>
      </c>
      <c r="E161" t="s">
        <v>10</v>
      </c>
      <c r="F161" t="s">
        <v>358</v>
      </c>
      <c r="G161" t="s">
        <v>359</v>
      </c>
      <c r="H161">
        <v>1</v>
      </c>
      <c r="I161" t="str">
        <f>VLOOKUP(Table1[[#This Row],[NAME]],Table13[#All],2,FALSE)</f>
        <v>Si</v>
      </c>
      <c r="J161" t="str">
        <f>VLOOKUP(Table1[[#This Row],[NAME]],Table13[#All],4,FALSE)</f>
        <v>Pay As You Go</v>
      </c>
      <c r="K161" t="str">
        <f>VLOOKUP(Table1[[#This Row],[NAME]],Table13[#All],5,FALSE)</f>
        <v>SQL2019-WS2019</v>
      </c>
    </row>
    <row r="162" spans="1:11" x14ac:dyDescent="0.25">
      <c r="A162" t="s">
        <v>360</v>
      </c>
      <c r="B162" t="s">
        <v>8</v>
      </c>
      <c r="C162" t="s">
        <v>9</v>
      </c>
      <c r="D162" t="s">
        <v>547</v>
      </c>
      <c r="E162" t="s">
        <v>10</v>
      </c>
      <c r="F162" t="s">
        <v>361</v>
      </c>
      <c r="G162" t="s">
        <v>362</v>
      </c>
      <c r="H162">
        <v>1</v>
      </c>
      <c r="I162" s="1" t="s">
        <v>12</v>
      </c>
      <c r="J162" s="1" t="s">
        <v>12</v>
      </c>
      <c r="K162" s="1" t="s">
        <v>12</v>
      </c>
    </row>
    <row r="163" spans="1:11" x14ac:dyDescent="0.25">
      <c r="A163" t="s">
        <v>363</v>
      </c>
      <c r="B163" t="s">
        <v>8</v>
      </c>
      <c r="C163" t="s">
        <v>9</v>
      </c>
      <c r="D163" t="s">
        <v>541</v>
      </c>
      <c r="E163" t="s">
        <v>45</v>
      </c>
      <c r="F163" t="s">
        <v>364</v>
      </c>
      <c r="G163" t="s">
        <v>12</v>
      </c>
      <c r="H163">
        <v>2</v>
      </c>
      <c r="I163" s="1" t="s">
        <v>12</v>
      </c>
      <c r="J163" s="1" t="s">
        <v>12</v>
      </c>
      <c r="K163" s="1" t="s">
        <v>12</v>
      </c>
    </row>
    <row r="164" spans="1:11" x14ac:dyDescent="0.25">
      <c r="A164" t="s">
        <v>365</v>
      </c>
      <c r="B164" t="s">
        <v>14</v>
      </c>
      <c r="C164" t="s">
        <v>9</v>
      </c>
      <c r="D164" t="s">
        <v>541</v>
      </c>
      <c r="E164" t="s">
        <v>114</v>
      </c>
      <c r="F164" t="s">
        <v>366</v>
      </c>
      <c r="G164" t="s">
        <v>12</v>
      </c>
      <c r="H164">
        <v>7</v>
      </c>
      <c r="I164" t="str">
        <f>VLOOKUP(Table1[[#This Row],[NAME]],Table13[#All],2,FALSE)</f>
        <v>Si</v>
      </c>
      <c r="J164" t="str">
        <f>VLOOKUP(Table1[[#This Row],[NAME]],Table13[#All],4,FALSE)</f>
        <v>Azure Hybrid Benefit</v>
      </c>
      <c r="K164" t="str">
        <f>VLOOKUP(Table1[[#This Row],[NAME]],Table13[#All],5,FALSE)</f>
        <v>SQL2012-WS2012R2</v>
      </c>
    </row>
    <row r="165" spans="1:11" x14ac:dyDescent="0.25">
      <c r="A165" t="s">
        <v>367</v>
      </c>
      <c r="B165" t="s">
        <v>14</v>
      </c>
      <c r="C165" t="s">
        <v>9</v>
      </c>
      <c r="D165" t="s">
        <v>541</v>
      </c>
      <c r="E165" t="s">
        <v>45</v>
      </c>
      <c r="F165" t="s">
        <v>368</v>
      </c>
      <c r="G165" t="s">
        <v>12</v>
      </c>
      <c r="H165">
        <v>1</v>
      </c>
      <c r="I165" s="1" t="s">
        <v>12</v>
      </c>
      <c r="J165" s="1" t="s">
        <v>12</v>
      </c>
      <c r="K165" s="1" t="s">
        <v>12</v>
      </c>
    </row>
    <row r="166" spans="1:11" x14ac:dyDescent="0.25">
      <c r="A166" t="s">
        <v>369</v>
      </c>
      <c r="B166" t="s">
        <v>8</v>
      </c>
      <c r="C166" t="s">
        <v>9</v>
      </c>
      <c r="D166" t="s">
        <v>541</v>
      </c>
      <c r="E166" t="s">
        <v>10</v>
      </c>
      <c r="F166" t="s">
        <v>370</v>
      </c>
      <c r="G166" t="s">
        <v>12</v>
      </c>
      <c r="H166">
        <v>2</v>
      </c>
      <c r="I166" s="1" t="s">
        <v>12</v>
      </c>
      <c r="J166" s="1" t="s">
        <v>12</v>
      </c>
      <c r="K166" s="1" t="s">
        <v>12</v>
      </c>
    </row>
    <row r="167" spans="1:11" x14ac:dyDescent="0.25">
      <c r="A167" t="s">
        <v>371</v>
      </c>
      <c r="B167" t="s">
        <v>14</v>
      </c>
      <c r="C167" t="s">
        <v>9</v>
      </c>
      <c r="D167" t="s">
        <v>541</v>
      </c>
      <c r="E167" t="s">
        <v>21</v>
      </c>
      <c r="F167" t="s">
        <v>372</v>
      </c>
      <c r="G167" t="s">
        <v>12</v>
      </c>
      <c r="H167">
        <v>7</v>
      </c>
      <c r="I167" t="str">
        <f>VLOOKUP(Table1[[#This Row],[NAME]],Table13[#All],2,FALSE)</f>
        <v>Si</v>
      </c>
      <c r="J167" t="str">
        <f>VLOOKUP(Table1[[#This Row],[NAME]],Table13[#All],4,FALSE)</f>
        <v>Azure Hybrid Benefit</v>
      </c>
      <c r="K167" t="str">
        <f>VLOOKUP(Table1[[#This Row],[NAME]],Table13[#All],5,FALSE)</f>
        <v>SQL2012-WS2012R2</v>
      </c>
    </row>
    <row r="168" spans="1:11" x14ac:dyDescent="0.25">
      <c r="A168" t="s">
        <v>373</v>
      </c>
      <c r="B168" t="s">
        <v>8</v>
      </c>
      <c r="C168" t="s">
        <v>9</v>
      </c>
      <c r="D168" t="s">
        <v>541</v>
      </c>
      <c r="E168" t="s">
        <v>10</v>
      </c>
      <c r="F168" t="s">
        <v>374</v>
      </c>
      <c r="G168" t="s">
        <v>12</v>
      </c>
      <c r="H168">
        <v>2</v>
      </c>
      <c r="I168" s="1" t="s">
        <v>12</v>
      </c>
      <c r="J168" s="1" t="s">
        <v>12</v>
      </c>
      <c r="K168" s="1" t="s">
        <v>12</v>
      </c>
    </row>
    <row r="169" spans="1:11" x14ac:dyDescent="0.25">
      <c r="A169" t="s">
        <v>375</v>
      </c>
      <c r="B169" t="s">
        <v>8</v>
      </c>
      <c r="C169" t="s">
        <v>9</v>
      </c>
      <c r="D169" t="s">
        <v>542</v>
      </c>
      <c r="E169" t="s">
        <v>235</v>
      </c>
      <c r="F169" t="s">
        <v>376</v>
      </c>
      <c r="G169" t="s">
        <v>12</v>
      </c>
      <c r="H169">
        <v>3</v>
      </c>
      <c r="I169" s="1" t="s">
        <v>12</v>
      </c>
      <c r="J169" s="1" t="s">
        <v>12</v>
      </c>
      <c r="K169" s="1" t="s">
        <v>12</v>
      </c>
    </row>
    <row r="170" spans="1:11" x14ac:dyDescent="0.25">
      <c r="A170" t="s">
        <v>377</v>
      </c>
      <c r="B170" t="s">
        <v>8</v>
      </c>
      <c r="C170" t="s">
        <v>9</v>
      </c>
      <c r="D170" t="s">
        <v>541</v>
      </c>
      <c r="E170" t="s">
        <v>45</v>
      </c>
      <c r="F170" t="s">
        <v>378</v>
      </c>
      <c r="G170" t="s">
        <v>12</v>
      </c>
      <c r="H170">
        <v>4</v>
      </c>
      <c r="I170" t="str">
        <f>VLOOKUP(Table1[[#This Row],[NAME]],Table13[#All],2,FALSE)</f>
        <v>Si</v>
      </c>
      <c r="J170" t="str">
        <f>VLOOKUP(Table1[[#This Row],[NAME]],Table13[#All],4,FALSE)</f>
        <v>Azure Hybrid Benefit</v>
      </c>
      <c r="K170" t="str">
        <f>VLOOKUP(Table1[[#This Row],[NAME]],Table13[#All],5,FALSE)</f>
        <v>SQL2012-WS2012R2</v>
      </c>
    </row>
    <row r="171" spans="1:11" x14ac:dyDescent="0.25">
      <c r="A171" t="s">
        <v>379</v>
      </c>
      <c r="B171" t="s">
        <v>8</v>
      </c>
      <c r="C171" t="s">
        <v>9</v>
      </c>
      <c r="D171" t="s">
        <v>541</v>
      </c>
      <c r="E171" t="s">
        <v>15</v>
      </c>
      <c r="F171" t="s">
        <v>380</v>
      </c>
      <c r="G171" t="s">
        <v>12</v>
      </c>
      <c r="H171">
        <v>6</v>
      </c>
      <c r="I171" t="str">
        <f>VLOOKUP(Table1[[#This Row],[NAME]],Table13[#All],2,FALSE)</f>
        <v>Si</v>
      </c>
      <c r="J171" t="str">
        <f>VLOOKUP(Table1[[#This Row],[NAME]],Table13[#All],4,FALSE)</f>
        <v>Azure Hybrid Benefit</v>
      </c>
      <c r="K171" t="str">
        <f>VLOOKUP(Table1[[#This Row],[NAME]],Table13[#All],5,FALSE)</f>
        <v>SQL2014-WS2012R2</v>
      </c>
    </row>
    <row r="172" spans="1:11" x14ac:dyDescent="0.25">
      <c r="A172" t="s">
        <v>381</v>
      </c>
      <c r="B172" t="s">
        <v>14</v>
      </c>
      <c r="C172" t="s">
        <v>9</v>
      </c>
      <c r="D172" t="s">
        <v>541</v>
      </c>
      <c r="E172" t="s">
        <v>32</v>
      </c>
      <c r="F172" t="s">
        <v>382</v>
      </c>
      <c r="G172" t="s">
        <v>12</v>
      </c>
      <c r="H172">
        <v>2</v>
      </c>
      <c r="I172" s="1" t="s">
        <v>12</v>
      </c>
      <c r="J172" s="1" t="s">
        <v>12</v>
      </c>
      <c r="K172" s="1" t="s">
        <v>12</v>
      </c>
    </row>
    <row r="173" spans="1:11" x14ac:dyDescent="0.25">
      <c r="A173" t="s">
        <v>383</v>
      </c>
      <c r="B173" t="s">
        <v>8</v>
      </c>
      <c r="C173" t="s">
        <v>9</v>
      </c>
      <c r="D173" t="s">
        <v>541</v>
      </c>
      <c r="E173" t="s">
        <v>50</v>
      </c>
      <c r="F173" t="s">
        <v>384</v>
      </c>
      <c r="G173" t="s">
        <v>12</v>
      </c>
      <c r="H173">
        <v>2</v>
      </c>
      <c r="I173" s="1" t="s">
        <v>12</v>
      </c>
      <c r="J173" s="1" t="s">
        <v>12</v>
      </c>
      <c r="K173" s="1" t="s">
        <v>12</v>
      </c>
    </row>
    <row r="174" spans="1:11" x14ac:dyDescent="0.25">
      <c r="A174" t="s">
        <v>385</v>
      </c>
      <c r="B174" t="s">
        <v>8</v>
      </c>
      <c r="C174" t="s">
        <v>9</v>
      </c>
      <c r="D174" t="s">
        <v>541</v>
      </c>
      <c r="E174" t="s">
        <v>18</v>
      </c>
      <c r="F174" t="s">
        <v>386</v>
      </c>
      <c r="G174" t="s">
        <v>12</v>
      </c>
      <c r="H174">
        <v>1</v>
      </c>
      <c r="I174" s="1" t="s">
        <v>12</v>
      </c>
      <c r="J174" s="1" t="s">
        <v>12</v>
      </c>
      <c r="K174" s="1" t="s">
        <v>12</v>
      </c>
    </row>
    <row r="175" spans="1:11" x14ac:dyDescent="0.25">
      <c r="A175" t="s">
        <v>387</v>
      </c>
      <c r="B175" t="s">
        <v>8</v>
      </c>
      <c r="C175" t="s">
        <v>9</v>
      </c>
      <c r="D175" t="s">
        <v>541</v>
      </c>
      <c r="E175" t="s">
        <v>117</v>
      </c>
      <c r="F175" t="s">
        <v>388</v>
      </c>
      <c r="G175" t="s">
        <v>12</v>
      </c>
      <c r="H175">
        <v>10</v>
      </c>
      <c r="I175" t="str">
        <f>VLOOKUP(Table1[[#This Row],[NAME]],Table13[#All],2,FALSE)</f>
        <v>Si</v>
      </c>
      <c r="J175" t="str">
        <f>VLOOKUP(Table1[[#This Row],[NAME]],Table13[#All],4,FALSE)</f>
        <v>Azure Hybrid Benefit</v>
      </c>
      <c r="K175" t="str">
        <f>VLOOKUP(Table1[[#This Row],[NAME]],Table13[#All],5,FALSE)</f>
        <v>SQL2012-WS2012R2</v>
      </c>
    </row>
    <row r="176" spans="1:11" x14ac:dyDescent="0.25">
      <c r="A176" t="s">
        <v>389</v>
      </c>
      <c r="B176" t="s">
        <v>14</v>
      </c>
      <c r="C176" t="s">
        <v>9</v>
      </c>
      <c r="D176" t="s">
        <v>545</v>
      </c>
      <c r="E176" t="s">
        <v>390</v>
      </c>
      <c r="F176" t="s">
        <v>391</v>
      </c>
      <c r="G176" t="s">
        <v>12</v>
      </c>
      <c r="H176">
        <v>1</v>
      </c>
      <c r="I176" s="1" t="s">
        <v>12</v>
      </c>
      <c r="J176" s="1" t="s">
        <v>12</v>
      </c>
      <c r="K176" s="1" t="s">
        <v>12</v>
      </c>
    </row>
    <row r="177" spans="1:11" x14ac:dyDescent="0.25">
      <c r="A177" t="s">
        <v>392</v>
      </c>
      <c r="B177" t="s">
        <v>8</v>
      </c>
      <c r="C177" t="s">
        <v>9</v>
      </c>
      <c r="D177" t="s">
        <v>545</v>
      </c>
      <c r="E177" t="s">
        <v>390</v>
      </c>
      <c r="F177" t="s">
        <v>393</v>
      </c>
      <c r="G177" t="s">
        <v>12</v>
      </c>
      <c r="H177">
        <v>1</v>
      </c>
      <c r="I177" s="1" t="s">
        <v>12</v>
      </c>
      <c r="J177" s="1" t="s">
        <v>12</v>
      </c>
      <c r="K177" s="1" t="s">
        <v>12</v>
      </c>
    </row>
    <row r="178" spans="1:11" x14ac:dyDescent="0.25">
      <c r="A178" t="s">
        <v>394</v>
      </c>
      <c r="B178" t="s">
        <v>14</v>
      </c>
      <c r="C178" t="s">
        <v>9</v>
      </c>
      <c r="D178" t="s">
        <v>541</v>
      </c>
      <c r="E178" t="s">
        <v>15</v>
      </c>
      <c r="F178" t="s">
        <v>395</v>
      </c>
      <c r="G178" t="s">
        <v>12</v>
      </c>
      <c r="H178">
        <v>7</v>
      </c>
      <c r="I178" t="str">
        <f>VLOOKUP(Table1[[#This Row],[NAME]],Table13[#All],2,FALSE)</f>
        <v>Si</v>
      </c>
      <c r="J178" t="str">
        <f>VLOOKUP(Table1[[#This Row],[NAME]],Table13[#All],4,FALSE)</f>
        <v>Azure Hybrid Benefit</v>
      </c>
      <c r="K178" t="str">
        <f>VLOOKUP(Table1[[#This Row],[NAME]],Table13[#All],5,FALSE)</f>
        <v>SQL2012-WS2012R2</v>
      </c>
    </row>
    <row r="179" spans="1:11" x14ac:dyDescent="0.25">
      <c r="A179" t="s">
        <v>396</v>
      </c>
      <c r="B179" t="s">
        <v>14</v>
      </c>
      <c r="C179" t="s">
        <v>9</v>
      </c>
      <c r="D179" t="s">
        <v>545</v>
      </c>
      <c r="E179" t="s">
        <v>50</v>
      </c>
      <c r="F179" t="s">
        <v>397</v>
      </c>
      <c r="G179" t="s">
        <v>12</v>
      </c>
      <c r="H179">
        <v>1</v>
      </c>
      <c r="I179" s="1" t="s">
        <v>12</v>
      </c>
      <c r="J179" s="1" t="s">
        <v>12</v>
      </c>
      <c r="K179" s="1" t="s">
        <v>12</v>
      </c>
    </row>
    <row r="180" spans="1:11" x14ac:dyDescent="0.25">
      <c r="A180" t="s">
        <v>398</v>
      </c>
      <c r="B180" t="s">
        <v>14</v>
      </c>
      <c r="C180" t="s">
        <v>9</v>
      </c>
      <c r="D180" t="s">
        <v>545</v>
      </c>
      <c r="E180" t="s">
        <v>50</v>
      </c>
      <c r="F180" t="s">
        <v>399</v>
      </c>
      <c r="G180" t="s">
        <v>12</v>
      </c>
      <c r="H180">
        <v>1</v>
      </c>
      <c r="I180" s="1" t="s">
        <v>12</v>
      </c>
      <c r="J180" s="1" t="s">
        <v>12</v>
      </c>
      <c r="K180" s="1" t="s">
        <v>12</v>
      </c>
    </row>
    <row r="181" spans="1:11" x14ac:dyDescent="0.25">
      <c r="A181" t="s">
        <v>400</v>
      </c>
      <c r="B181" t="s">
        <v>8</v>
      </c>
      <c r="C181" t="s">
        <v>9</v>
      </c>
      <c r="D181" t="s">
        <v>548</v>
      </c>
      <c r="E181" t="s">
        <v>21</v>
      </c>
      <c r="F181" t="s">
        <v>401</v>
      </c>
      <c r="G181" t="s">
        <v>12</v>
      </c>
      <c r="H181">
        <v>1</v>
      </c>
      <c r="I181" s="1" t="s">
        <v>12</v>
      </c>
      <c r="J181" s="1" t="s">
        <v>12</v>
      </c>
      <c r="K181" s="1" t="s">
        <v>12</v>
      </c>
    </row>
    <row r="182" spans="1:11" x14ac:dyDescent="0.25">
      <c r="A182" t="s">
        <v>402</v>
      </c>
      <c r="B182" t="s">
        <v>8</v>
      </c>
      <c r="C182" t="s">
        <v>9</v>
      </c>
      <c r="D182" t="s">
        <v>548</v>
      </c>
      <c r="E182" t="s">
        <v>21</v>
      </c>
      <c r="F182" t="s">
        <v>403</v>
      </c>
      <c r="G182" t="s">
        <v>12</v>
      </c>
      <c r="H182">
        <v>1</v>
      </c>
      <c r="I182" s="1" t="s">
        <v>12</v>
      </c>
      <c r="J182" s="1" t="s">
        <v>12</v>
      </c>
      <c r="K182" s="1" t="s">
        <v>12</v>
      </c>
    </row>
    <row r="183" spans="1:11" x14ac:dyDescent="0.25">
      <c r="A183" t="s">
        <v>404</v>
      </c>
      <c r="B183" t="s">
        <v>8</v>
      </c>
      <c r="C183" t="s">
        <v>9</v>
      </c>
      <c r="D183" t="s">
        <v>548</v>
      </c>
      <c r="E183" t="s">
        <v>32</v>
      </c>
      <c r="F183" t="s">
        <v>405</v>
      </c>
      <c r="G183" t="s">
        <v>12</v>
      </c>
      <c r="H183">
        <v>1</v>
      </c>
      <c r="I183" s="1" t="s">
        <v>12</v>
      </c>
      <c r="J183" s="1" t="s">
        <v>12</v>
      </c>
      <c r="K183" s="1" t="s">
        <v>12</v>
      </c>
    </row>
    <row r="184" spans="1:11" x14ac:dyDescent="0.25">
      <c r="A184" t="s">
        <v>406</v>
      </c>
      <c r="B184" t="s">
        <v>8</v>
      </c>
      <c r="C184" t="s">
        <v>9</v>
      </c>
      <c r="D184" t="s">
        <v>548</v>
      </c>
      <c r="E184" t="s">
        <v>407</v>
      </c>
      <c r="F184" t="s">
        <v>408</v>
      </c>
      <c r="G184" t="s">
        <v>12</v>
      </c>
      <c r="H184">
        <v>1</v>
      </c>
      <c r="I184" s="1" t="s">
        <v>12</v>
      </c>
      <c r="J184" s="1" t="s">
        <v>12</v>
      </c>
      <c r="K184" s="1" t="s">
        <v>12</v>
      </c>
    </row>
    <row r="185" spans="1:11" x14ac:dyDescent="0.25">
      <c r="A185" t="s">
        <v>409</v>
      </c>
      <c r="B185" t="s">
        <v>8</v>
      </c>
      <c r="C185" t="s">
        <v>9</v>
      </c>
      <c r="D185" t="s">
        <v>548</v>
      </c>
      <c r="E185" t="s">
        <v>407</v>
      </c>
      <c r="F185" t="s">
        <v>410</v>
      </c>
      <c r="G185" t="s">
        <v>12</v>
      </c>
      <c r="H185">
        <v>1</v>
      </c>
      <c r="I185" s="1" t="s">
        <v>12</v>
      </c>
      <c r="J185" s="1" t="s">
        <v>12</v>
      </c>
      <c r="K185" s="1" t="s">
        <v>12</v>
      </c>
    </row>
    <row r="186" spans="1:11" x14ac:dyDescent="0.25">
      <c r="A186" t="s">
        <v>411</v>
      </c>
      <c r="B186" t="s">
        <v>14</v>
      </c>
      <c r="C186" t="s">
        <v>9</v>
      </c>
      <c r="D186" t="s">
        <v>548</v>
      </c>
      <c r="E186" t="s">
        <v>412</v>
      </c>
      <c r="F186" t="s">
        <v>413</v>
      </c>
      <c r="G186" t="s">
        <v>12</v>
      </c>
      <c r="H186">
        <v>1</v>
      </c>
      <c r="I186" s="1" t="s">
        <v>12</v>
      </c>
      <c r="J186" s="1" t="s">
        <v>12</v>
      </c>
      <c r="K186" s="1" t="s">
        <v>12</v>
      </c>
    </row>
    <row r="187" spans="1:11" x14ac:dyDescent="0.25">
      <c r="A187" t="s">
        <v>414</v>
      </c>
      <c r="B187" t="s">
        <v>8</v>
      </c>
      <c r="C187" t="s">
        <v>9</v>
      </c>
      <c r="D187" t="s">
        <v>548</v>
      </c>
      <c r="E187" t="s">
        <v>32</v>
      </c>
      <c r="F187" t="s">
        <v>415</v>
      </c>
      <c r="G187" t="s">
        <v>12</v>
      </c>
      <c r="H187">
        <v>1</v>
      </c>
      <c r="I187" s="1" t="s">
        <v>12</v>
      </c>
      <c r="J187" s="1" t="s">
        <v>12</v>
      </c>
      <c r="K187" s="1" t="s">
        <v>12</v>
      </c>
    </row>
    <row r="188" spans="1:11" x14ac:dyDescent="0.25">
      <c r="A188" t="s">
        <v>416</v>
      </c>
      <c r="B188" t="s">
        <v>14</v>
      </c>
      <c r="C188" t="s">
        <v>9</v>
      </c>
      <c r="D188" t="s">
        <v>545</v>
      </c>
      <c r="E188" t="s">
        <v>114</v>
      </c>
      <c r="F188" t="s">
        <v>417</v>
      </c>
      <c r="G188" t="s">
        <v>12</v>
      </c>
      <c r="H188">
        <v>7</v>
      </c>
      <c r="I188" t="str">
        <f>VLOOKUP(Table1[[#This Row],[NAME]],Table13[#All],2,FALSE)</f>
        <v>Si</v>
      </c>
      <c r="J188" t="str">
        <f>VLOOKUP(Table1[[#This Row],[NAME]],Table13[#All],4,FALSE)</f>
        <v>Azure Hybrid Benefit</v>
      </c>
      <c r="K188" t="str">
        <f>VLOOKUP(Table1[[#This Row],[NAME]],Table13[#All],5,FALSE)</f>
        <v>SQL2012-WS2012R2</v>
      </c>
    </row>
    <row r="189" spans="1:11" x14ac:dyDescent="0.25">
      <c r="A189" t="s">
        <v>418</v>
      </c>
      <c r="B189" t="s">
        <v>14</v>
      </c>
      <c r="C189" t="s">
        <v>9</v>
      </c>
      <c r="D189" t="s">
        <v>545</v>
      </c>
      <c r="E189" t="s">
        <v>419</v>
      </c>
      <c r="F189" t="s">
        <v>420</v>
      </c>
      <c r="G189" t="s">
        <v>12</v>
      </c>
      <c r="H189">
        <v>7</v>
      </c>
      <c r="I189" t="str">
        <f>VLOOKUP(Table1[[#This Row],[NAME]],Table13[#All],2,FALSE)</f>
        <v>Si</v>
      </c>
      <c r="J189" t="str">
        <f>VLOOKUP(Table1[[#This Row],[NAME]],Table13[#All],4,FALSE)</f>
        <v>Azure Hybrid Benefit</v>
      </c>
      <c r="K189" t="str">
        <f>VLOOKUP(Table1[[#This Row],[NAME]],Table13[#All],5,FALSE)</f>
        <v>SQL2012-WS2012R2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showGridLines="0" tabSelected="1" workbookViewId="0">
      <selection activeCell="K7" sqref="K7"/>
    </sheetView>
  </sheetViews>
  <sheetFormatPr baseColWidth="10" defaultColWidth="9.140625" defaultRowHeight="15" x14ac:dyDescent="0.25"/>
  <cols>
    <col min="1" max="1" width="11" bestFit="1" customWidth="1"/>
    <col min="2" max="2" width="6.42578125" bestFit="1" customWidth="1"/>
    <col min="5" max="5" width="20.140625" customWidth="1"/>
    <col min="8" max="8" width="38.5703125" customWidth="1"/>
  </cols>
  <sheetData>
    <row r="1" spans="1:8" x14ac:dyDescent="0.25">
      <c r="A1" t="s">
        <v>0</v>
      </c>
      <c r="B1" t="s">
        <v>534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</row>
    <row r="2" spans="1:8" x14ac:dyDescent="0.25">
      <c r="A2" t="s">
        <v>427</v>
      </c>
      <c r="B2" t="s">
        <v>535</v>
      </c>
      <c r="C2" t="s">
        <v>428</v>
      </c>
      <c r="D2" t="s">
        <v>429</v>
      </c>
      <c r="E2" t="s">
        <v>430</v>
      </c>
      <c r="F2" t="s">
        <v>431</v>
      </c>
      <c r="G2" t="s">
        <v>432</v>
      </c>
      <c r="H2" t="s">
        <v>433</v>
      </c>
    </row>
    <row r="3" spans="1:8" x14ac:dyDescent="0.25">
      <c r="A3" t="s">
        <v>23</v>
      </c>
      <c r="B3" t="s">
        <v>535</v>
      </c>
      <c r="C3" t="s">
        <v>434</v>
      </c>
      <c r="D3" t="s">
        <v>429</v>
      </c>
      <c r="E3" t="s">
        <v>435</v>
      </c>
      <c r="F3" t="s">
        <v>431</v>
      </c>
      <c r="G3" t="s">
        <v>432</v>
      </c>
      <c r="H3" t="s">
        <v>433</v>
      </c>
    </row>
    <row r="4" spans="1:8" x14ac:dyDescent="0.25">
      <c r="A4" t="s">
        <v>436</v>
      </c>
      <c r="B4" t="s">
        <v>535</v>
      </c>
      <c r="C4" t="s">
        <v>434</v>
      </c>
      <c r="D4" t="s">
        <v>429</v>
      </c>
      <c r="E4" t="s">
        <v>437</v>
      </c>
      <c r="F4" t="s">
        <v>431</v>
      </c>
      <c r="G4" t="s">
        <v>432</v>
      </c>
      <c r="H4" t="s">
        <v>433</v>
      </c>
    </row>
    <row r="5" spans="1:8" x14ac:dyDescent="0.25">
      <c r="A5" t="s">
        <v>438</v>
      </c>
      <c r="B5" t="s">
        <v>535</v>
      </c>
      <c r="C5" t="s">
        <v>439</v>
      </c>
      <c r="D5" t="s">
        <v>429</v>
      </c>
      <c r="E5" t="s">
        <v>437</v>
      </c>
      <c r="F5" t="s">
        <v>440</v>
      </c>
      <c r="G5" t="s">
        <v>432</v>
      </c>
      <c r="H5" t="s">
        <v>433</v>
      </c>
    </row>
    <row r="6" spans="1:8" x14ac:dyDescent="0.25">
      <c r="A6" t="s">
        <v>441</v>
      </c>
      <c r="B6" t="s">
        <v>535</v>
      </c>
      <c r="C6" t="s">
        <v>442</v>
      </c>
      <c r="D6" t="s">
        <v>429</v>
      </c>
      <c r="E6" t="s">
        <v>443</v>
      </c>
      <c r="F6" t="s">
        <v>440</v>
      </c>
      <c r="G6" t="s">
        <v>432</v>
      </c>
      <c r="H6" t="s">
        <v>433</v>
      </c>
    </row>
    <row r="7" spans="1:8" x14ac:dyDescent="0.25">
      <c r="A7" t="s">
        <v>444</v>
      </c>
      <c r="B7" t="s">
        <v>535</v>
      </c>
      <c r="C7" t="s">
        <v>445</v>
      </c>
      <c r="D7" t="s">
        <v>429</v>
      </c>
      <c r="E7" t="s">
        <v>437</v>
      </c>
      <c r="F7" t="s">
        <v>440</v>
      </c>
      <c r="G7" t="s">
        <v>432</v>
      </c>
      <c r="H7" t="s">
        <v>446</v>
      </c>
    </row>
    <row r="8" spans="1:8" x14ac:dyDescent="0.25">
      <c r="A8" t="s">
        <v>447</v>
      </c>
      <c r="B8" t="s">
        <v>535</v>
      </c>
      <c r="C8" t="s">
        <v>448</v>
      </c>
      <c r="D8" t="s">
        <v>429</v>
      </c>
      <c r="E8" t="s">
        <v>437</v>
      </c>
      <c r="F8" t="s">
        <v>440</v>
      </c>
      <c r="G8" t="s">
        <v>432</v>
      </c>
      <c r="H8" t="s">
        <v>433</v>
      </c>
    </row>
    <row r="9" spans="1:8" x14ac:dyDescent="0.25">
      <c r="A9" t="s">
        <v>449</v>
      </c>
      <c r="B9" t="s">
        <v>535</v>
      </c>
      <c r="C9" t="s">
        <v>450</v>
      </c>
      <c r="D9" t="s">
        <v>451</v>
      </c>
      <c r="E9" t="s">
        <v>435</v>
      </c>
      <c r="F9" t="s">
        <v>452</v>
      </c>
      <c r="G9" t="s">
        <v>432</v>
      </c>
      <c r="H9" t="s">
        <v>433</v>
      </c>
    </row>
    <row r="10" spans="1:8" x14ac:dyDescent="0.25">
      <c r="A10" t="s">
        <v>453</v>
      </c>
      <c r="B10" t="s">
        <v>535</v>
      </c>
      <c r="C10" t="s">
        <v>454</v>
      </c>
      <c r="D10" t="s">
        <v>429</v>
      </c>
      <c r="E10" t="s">
        <v>455</v>
      </c>
      <c r="F10" t="s">
        <v>440</v>
      </c>
      <c r="G10" t="s">
        <v>432</v>
      </c>
      <c r="H10" t="s">
        <v>433</v>
      </c>
    </row>
    <row r="11" spans="1:8" x14ac:dyDescent="0.25">
      <c r="A11" t="s">
        <v>456</v>
      </c>
      <c r="B11" t="s">
        <v>535</v>
      </c>
      <c r="C11" t="s">
        <v>457</v>
      </c>
      <c r="D11" t="s">
        <v>429</v>
      </c>
      <c r="E11" t="s">
        <v>437</v>
      </c>
      <c r="F11" t="s">
        <v>440</v>
      </c>
      <c r="G11" t="s">
        <v>432</v>
      </c>
      <c r="H11" t="s">
        <v>433</v>
      </c>
    </row>
    <row r="12" spans="1:8" x14ac:dyDescent="0.25">
      <c r="A12" t="s">
        <v>458</v>
      </c>
      <c r="B12" t="s">
        <v>535</v>
      </c>
      <c r="C12" t="s">
        <v>434</v>
      </c>
      <c r="D12" t="s">
        <v>429</v>
      </c>
      <c r="E12" t="s">
        <v>435</v>
      </c>
      <c r="F12" t="s">
        <v>431</v>
      </c>
      <c r="G12" t="s">
        <v>432</v>
      </c>
      <c r="H12" t="s">
        <v>433</v>
      </c>
    </row>
    <row r="13" spans="1:8" x14ac:dyDescent="0.25">
      <c r="A13" t="s">
        <v>459</v>
      </c>
      <c r="B13" t="s">
        <v>535</v>
      </c>
      <c r="C13" t="s">
        <v>460</v>
      </c>
      <c r="D13" t="s">
        <v>429</v>
      </c>
      <c r="E13" t="s">
        <v>461</v>
      </c>
      <c r="F13" t="s">
        <v>431</v>
      </c>
      <c r="G13" t="s">
        <v>432</v>
      </c>
      <c r="H13" t="s">
        <v>433</v>
      </c>
    </row>
    <row r="14" spans="1:8" x14ac:dyDescent="0.25">
      <c r="A14" t="s">
        <v>462</v>
      </c>
      <c r="B14" t="s">
        <v>535</v>
      </c>
      <c r="C14" t="s">
        <v>463</v>
      </c>
      <c r="D14" t="s">
        <v>429</v>
      </c>
      <c r="E14" t="s">
        <v>437</v>
      </c>
      <c r="F14" t="s">
        <v>440</v>
      </c>
      <c r="G14" t="s">
        <v>432</v>
      </c>
      <c r="H14" t="s">
        <v>433</v>
      </c>
    </row>
    <row r="15" spans="1:8" x14ac:dyDescent="0.25">
      <c r="A15" t="s">
        <v>464</v>
      </c>
      <c r="B15" t="s">
        <v>535</v>
      </c>
      <c r="C15" t="s">
        <v>465</v>
      </c>
      <c r="D15" t="s">
        <v>429</v>
      </c>
      <c r="E15" t="s">
        <v>435</v>
      </c>
      <c r="F15" t="s">
        <v>431</v>
      </c>
      <c r="G15" t="s">
        <v>432</v>
      </c>
      <c r="H15" t="s">
        <v>433</v>
      </c>
    </row>
    <row r="16" spans="1:8" x14ac:dyDescent="0.25">
      <c r="A16" t="s">
        <v>466</v>
      </c>
      <c r="B16" t="s">
        <v>535</v>
      </c>
      <c r="C16" t="s">
        <v>457</v>
      </c>
      <c r="D16" t="s">
        <v>429</v>
      </c>
      <c r="E16" t="s">
        <v>437</v>
      </c>
      <c r="F16" t="s">
        <v>440</v>
      </c>
      <c r="G16" t="s">
        <v>432</v>
      </c>
      <c r="H16" t="s">
        <v>433</v>
      </c>
    </row>
    <row r="17" spans="1:8" x14ac:dyDescent="0.25">
      <c r="A17" t="s">
        <v>107</v>
      </c>
      <c r="B17" t="s">
        <v>535</v>
      </c>
      <c r="C17" t="s">
        <v>428</v>
      </c>
      <c r="D17" t="s">
        <v>429</v>
      </c>
      <c r="E17" t="s">
        <v>437</v>
      </c>
      <c r="F17" t="s">
        <v>431</v>
      </c>
      <c r="G17" t="s">
        <v>432</v>
      </c>
      <c r="H17" t="s">
        <v>433</v>
      </c>
    </row>
    <row r="18" spans="1:8" x14ac:dyDescent="0.25">
      <c r="A18" t="s">
        <v>467</v>
      </c>
      <c r="B18" t="s">
        <v>535</v>
      </c>
      <c r="C18" t="s">
        <v>468</v>
      </c>
      <c r="D18" t="s">
        <v>429</v>
      </c>
      <c r="E18" t="s">
        <v>443</v>
      </c>
      <c r="F18" t="s">
        <v>440</v>
      </c>
      <c r="G18" t="s">
        <v>432</v>
      </c>
      <c r="H18" t="s">
        <v>433</v>
      </c>
    </row>
    <row r="19" spans="1:8" x14ac:dyDescent="0.25">
      <c r="A19" t="s">
        <v>469</v>
      </c>
      <c r="B19" t="s">
        <v>535</v>
      </c>
      <c r="C19" t="s">
        <v>434</v>
      </c>
      <c r="D19" t="s">
        <v>429</v>
      </c>
      <c r="E19" t="s">
        <v>443</v>
      </c>
      <c r="F19" t="s">
        <v>431</v>
      </c>
      <c r="G19" t="s">
        <v>432</v>
      </c>
      <c r="H19" t="s">
        <v>433</v>
      </c>
    </row>
    <row r="20" spans="1:8" x14ac:dyDescent="0.25">
      <c r="A20" t="s">
        <v>470</v>
      </c>
      <c r="B20" t="s">
        <v>535</v>
      </c>
      <c r="C20" t="s">
        <v>428</v>
      </c>
      <c r="D20" t="s">
        <v>429</v>
      </c>
      <c r="E20" t="s">
        <v>437</v>
      </c>
      <c r="F20" t="s">
        <v>431</v>
      </c>
      <c r="G20" t="s">
        <v>432</v>
      </c>
      <c r="H20" t="s">
        <v>433</v>
      </c>
    </row>
    <row r="21" spans="1:8" x14ac:dyDescent="0.25">
      <c r="A21" t="s">
        <v>471</v>
      </c>
      <c r="B21" t="s">
        <v>535</v>
      </c>
      <c r="C21" t="s">
        <v>428</v>
      </c>
      <c r="D21" t="s">
        <v>429</v>
      </c>
      <c r="E21" t="s">
        <v>443</v>
      </c>
      <c r="F21" t="s">
        <v>431</v>
      </c>
      <c r="G21" t="s">
        <v>432</v>
      </c>
      <c r="H21" t="s">
        <v>433</v>
      </c>
    </row>
    <row r="22" spans="1:8" x14ac:dyDescent="0.25">
      <c r="A22" t="s">
        <v>472</v>
      </c>
      <c r="B22" t="s">
        <v>535</v>
      </c>
      <c r="C22" t="s">
        <v>473</v>
      </c>
      <c r="D22" t="s">
        <v>429</v>
      </c>
      <c r="E22" t="s">
        <v>455</v>
      </c>
      <c r="F22" t="s">
        <v>440</v>
      </c>
      <c r="G22" t="s">
        <v>432</v>
      </c>
      <c r="H22" t="s">
        <v>433</v>
      </c>
    </row>
    <row r="23" spans="1:8" x14ac:dyDescent="0.25">
      <c r="A23" t="s">
        <v>144</v>
      </c>
      <c r="B23" t="s">
        <v>535</v>
      </c>
      <c r="C23" t="s">
        <v>474</v>
      </c>
      <c r="D23" t="s">
        <v>429</v>
      </c>
      <c r="E23" t="s">
        <v>435</v>
      </c>
      <c r="F23" t="s">
        <v>440</v>
      </c>
      <c r="G23" t="s">
        <v>432</v>
      </c>
      <c r="H23" t="s">
        <v>433</v>
      </c>
    </row>
    <row r="24" spans="1:8" x14ac:dyDescent="0.25">
      <c r="A24" t="s">
        <v>475</v>
      </c>
      <c r="B24" t="s">
        <v>535</v>
      </c>
      <c r="C24" t="s">
        <v>445</v>
      </c>
      <c r="D24" t="s">
        <v>429</v>
      </c>
      <c r="E24" t="s">
        <v>455</v>
      </c>
      <c r="F24" t="s">
        <v>440</v>
      </c>
      <c r="G24" t="s">
        <v>432</v>
      </c>
      <c r="H24" t="s">
        <v>446</v>
      </c>
    </row>
    <row r="25" spans="1:8" x14ac:dyDescent="0.25">
      <c r="A25" t="s">
        <v>476</v>
      </c>
      <c r="B25" t="s">
        <v>535</v>
      </c>
      <c r="C25" t="s">
        <v>477</v>
      </c>
      <c r="D25" t="s">
        <v>429</v>
      </c>
      <c r="E25" t="s">
        <v>437</v>
      </c>
      <c r="F25" t="s">
        <v>440</v>
      </c>
      <c r="G25" t="s">
        <v>432</v>
      </c>
      <c r="H25" t="s">
        <v>433</v>
      </c>
    </row>
    <row r="26" spans="1:8" x14ac:dyDescent="0.25">
      <c r="A26" t="s">
        <v>478</v>
      </c>
      <c r="B26" t="s">
        <v>535</v>
      </c>
      <c r="C26" t="s">
        <v>479</v>
      </c>
      <c r="D26" t="s">
        <v>429</v>
      </c>
      <c r="E26" t="s">
        <v>437</v>
      </c>
      <c r="F26" t="s">
        <v>431</v>
      </c>
      <c r="G26" t="s">
        <v>432</v>
      </c>
      <c r="H26" t="s">
        <v>433</v>
      </c>
    </row>
    <row r="27" spans="1:8" x14ac:dyDescent="0.25">
      <c r="A27" t="s">
        <v>480</v>
      </c>
      <c r="B27" t="s">
        <v>535</v>
      </c>
      <c r="C27" t="s">
        <v>481</v>
      </c>
      <c r="D27" t="s">
        <v>429</v>
      </c>
      <c r="E27" t="s">
        <v>437</v>
      </c>
      <c r="F27" t="s">
        <v>431</v>
      </c>
      <c r="G27" t="s">
        <v>432</v>
      </c>
      <c r="H27" t="s">
        <v>433</v>
      </c>
    </row>
    <row r="28" spans="1:8" x14ac:dyDescent="0.25">
      <c r="A28" t="s">
        <v>482</v>
      </c>
      <c r="B28" t="s">
        <v>535</v>
      </c>
      <c r="C28" t="s">
        <v>483</v>
      </c>
      <c r="D28" t="s">
        <v>429</v>
      </c>
      <c r="E28" t="s">
        <v>435</v>
      </c>
      <c r="F28" t="s">
        <v>440</v>
      </c>
      <c r="G28" t="s">
        <v>432</v>
      </c>
      <c r="H28" t="s">
        <v>433</v>
      </c>
    </row>
    <row r="29" spans="1:8" x14ac:dyDescent="0.25">
      <c r="A29" t="s">
        <v>484</v>
      </c>
      <c r="B29" t="s">
        <v>535</v>
      </c>
      <c r="C29" t="s">
        <v>481</v>
      </c>
      <c r="D29" t="s">
        <v>429</v>
      </c>
      <c r="E29" t="s">
        <v>455</v>
      </c>
      <c r="F29" t="s">
        <v>440</v>
      </c>
      <c r="G29" t="s">
        <v>432</v>
      </c>
      <c r="H29" t="s">
        <v>433</v>
      </c>
    </row>
    <row r="30" spans="1:8" x14ac:dyDescent="0.25">
      <c r="A30" t="s">
        <v>485</v>
      </c>
      <c r="B30" t="s">
        <v>535</v>
      </c>
      <c r="C30" t="s">
        <v>486</v>
      </c>
      <c r="D30" t="s">
        <v>429</v>
      </c>
      <c r="E30" t="s">
        <v>455</v>
      </c>
      <c r="F30" t="s">
        <v>440</v>
      </c>
      <c r="G30" t="s">
        <v>432</v>
      </c>
      <c r="H30" t="s">
        <v>433</v>
      </c>
    </row>
    <row r="31" spans="1:8" x14ac:dyDescent="0.25">
      <c r="A31" t="s">
        <v>487</v>
      </c>
      <c r="B31" t="s">
        <v>535</v>
      </c>
      <c r="C31" t="s">
        <v>488</v>
      </c>
      <c r="D31" t="s">
        <v>429</v>
      </c>
      <c r="E31" t="s">
        <v>455</v>
      </c>
      <c r="F31" t="s">
        <v>440</v>
      </c>
      <c r="G31" t="s">
        <v>432</v>
      </c>
      <c r="H31" t="s">
        <v>433</v>
      </c>
    </row>
    <row r="32" spans="1:8" x14ac:dyDescent="0.25">
      <c r="A32" t="s">
        <v>489</v>
      </c>
      <c r="B32" t="s">
        <v>535</v>
      </c>
      <c r="C32" t="s">
        <v>490</v>
      </c>
      <c r="D32" t="s">
        <v>429</v>
      </c>
      <c r="E32" t="s">
        <v>455</v>
      </c>
      <c r="F32" t="s">
        <v>440</v>
      </c>
      <c r="G32" t="s">
        <v>432</v>
      </c>
      <c r="H32" t="s">
        <v>433</v>
      </c>
    </row>
    <row r="33" spans="1:8" x14ac:dyDescent="0.25">
      <c r="A33" t="s">
        <v>491</v>
      </c>
      <c r="B33" t="s">
        <v>535</v>
      </c>
      <c r="C33" t="s">
        <v>428</v>
      </c>
      <c r="D33" t="s">
        <v>429</v>
      </c>
      <c r="E33" t="s">
        <v>435</v>
      </c>
      <c r="F33" t="s">
        <v>431</v>
      </c>
      <c r="G33" t="s">
        <v>432</v>
      </c>
      <c r="H33" t="s">
        <v>433</v>
      </c>
    </row>
    <row r="34" spans="1:8" x14ac:dyDescent="0.25">
      <c r="A34" t="s">
        <v>492</v>
      </c>
      <c r="B34" t="s">
        <v>535</v>
      </c>
      <c r="C34" t="s">
        <v>493</v>
      </c>
      <c r="D34" t="s">
        <v>429</v>
      </c>
      <c r="E34" t="s">
        <v>435</v>
      </c>
      <c r="F34" t="s">
        <v>440</v>
      </c>
      <c r="G34" t="s">
        <v>432</v>
      </c>
      <c r="H34" t="s">
        <v>433</v>
      </c>
    </row>
    <row r="35" spans="1:8" x14ac:dyDescent="0.25">
      <c r="A35" t="s">
        <v>494</v>
      </c>
      <c r="B35" t="s">
        <v>535</v>
      </c>
      <c r="C35" t="s">
        <v>428</v>
      </c>
      <c r="D35" t="s">
        <v>429</v>
      </c>
      <c r="E35" t="s">
        <v>435</v>
      </c>
      <c r="F35" t="s">
        <v>431</v>
      </c>
      <c r="G35" t="s">
        <v>432</v>
      </c>
      <c r="H35" t="s">
        <v>433</v>
      </c>
    </row>
    <row r="36" spans="1:8" x14ac:dyDescent="0.25">
      <c r="A36" t="s">
        <v>495</v>
      </c>
      <c r="B36" t="s">
        <v>535</v>
      </c>
      <c r="C36" t="s">
        <v>496</v>
      </c>
      <c r="D36" t="s">
        <v>451</v>
      </c>
      <c r="E36" t="s">
        <v>455</v>
      </c>
      <c r="F36" t="s">
        <v>440</v>
      </c>
      <c r="G36" t="s">
        <v>432</v>
      </c>
      <c r="H36" t="s">
        <v>433</v>
      </c>
    </row>
    <row r="37" spans="1:8" x14ac:dyDescent="0.25">
      <c r="A37" t="s">
        <v>255</v>
      </c>
      <c r="B37" t="s">
        <v>535</v>
      </c>
      <c r="C37" t="s">
        <v>497</v>
      </c>
      <c r="D37" t="s">
        <v>429</v>
      </c>
      <c r="E37" t="s">
        <v>455</v>
      </c>
      <c r="F37" t="s">
        <v>440</v>
      </c>
      <c r="G37" t="s">
        <v>432</v>
      </c>
      <c r="H37" t="s">
        <v>433</v>
      </c>
    </row>
    <row r="38" spans="1:8" x14ac:dyDescent="0.25">
      <c r="A38" t="s">
        <v>498</v>
      </c>
      <c r="B38" t="s">
        <v>535</v>
      </c>
      <c r="C38" t="s">
        <v>496</v>
      </c>
      <c r="D38" t="s">
        <v>429</v>
      </c>
      <c r="E38" t="s">
        <v>455</v>
      </c>
      <c r="F38" t="s">
        <v>440</v>
      </c>
      <c r="G38" t="s">
        <v>432</v>
      </c>
      <c r="H38" t="s">
        <v>433</v>
      </c>
    </row>
    <row r="39" spans="1:8" x14ac:dyDescent="0.25">
      <c r="A39" t="s">
        <v>499</v>
      </c>
      <c r="B39" t="s">
        <v>535</v>
      </c>
      <c r="C39" t="s">
        <v>500</v>
      </c>
      <c r="D39" t="s">
        <v>451</v>
      </c>
      <c r="E39" t="s">
        <v>501</v>
      </c>
      <c r="F39" t="s">
        <v>440</v>
      </c>
      <c r="G39" t="s">
        <v>432</v>
      </c>
      <c r="H39" t="s">
        <v>446</v>
      </c>
    </row>
    <row r="40" spans="1:8" x14ac:dyDescent="0.25">
      <c r="A40" t="s">
        <v>502</v>
      </c>
      <c r="B40" t="s">
        <v>535</v>
      </c>
      <c r="C40" t="s">
        <v>503</v>
      </c>
      <c r="D40" t="s">
        <v>451</v>
      </c>
      <c r="E40" t="s">
        <v>504</v>
      </c>
      <c r="F40" t="s">
        <v>440</v>
      </c>
      <c r="G40" t="s">
        <v>432</v>
      </c>
      <c r="H40" t="s">
        <v>446</v>
      </c>
    </row>
    <row r="41" spans="1:8" x14ac:dyDescent="0.25">
      <c r="A41" t="s">
        <v>505</v>
      </c>
      <c r="B41" t="s">
        <v>535</v>
      </c>
      <c r="C41" t="s">
        <v>506</v>
      </c>
      <c r="D41" t="s">
        <v>451</v>
      </c>
      <c r="E41" t="s">
        <v>507</v>
      </c>
      <c r="F41" t="s">
        <v>431</v>
      </c>
      <c r="G41" t="s">
        <v>432</v>
      </c>
      <c r="H41" t="s">
        <v>433</v>
      </c>
    </row>
    <row r="42" spans="1:8" x14ac:dyDescent="0.25">
      <c r="A42" t="s">
        <v>508</v>
      </c>
      <c r="B42" t="s">
        <v>535</v>
      </c>
      <c r="C42" t="s">
        <v>509</v>
      </c>
      <c r="D42" t="s">
        <v>451</v>
      </c>
      <c r="E42" t="s">
        <v>455</v>
      </c>
      <c r="F42" t="s">
        <v>440</v>
      </c>
      <c r="G42" t="s">
        <v>432</v>
      </c>
      <c r="H42" t="s">
        <v>433</v>
      </c>
    </row>
    <row r="43" spans="1:8" x14ac:dyDescent="0.25">
      <c r="A43" t="s">
        <v>510</v>
      </c>
      <c r="B43" t="s">
        <v>535</v>
      </c>
      <c r="C43" t="s">
        <v>511</v>
      </c>
      <c r="D43" t="s">
        <v>451</v>
      </c>
      <c r="E43" t="s">
        <v>455</v>
      </c>
      <c r="F43" t="s">
        <v>440</v>
      </c>
      <c r="G43" t="s">
        <v>432</v>
      </c>
      <c r="H43" t="s">
        <v>433</v>
      </c>
    </row>
    <row r="44" spans="1:8" x14ac:dyDescent="0.25">
      <c r="A44" t="s">
        <v>295</v>
      </c>
      <c r="B44" t="s">
        <v>535</v>
      </c>
      <c r="C44" t="s">
        <v>468</v>
      </c>
      <c r="D44" t="s">
        <v>451</v>
      </c>
      <c r="E44" t="s">
        <v>455</v>
      </c>
      <c r="F44" t="s">
        <v>440</v>
      </c>
      <c r="G44" t="s">
        <v>432</v>
      </c>
      <c r="H44" t="s">
        <v>433</v>
      </c>
    </row>
    <row r="45" spans="1:8" x14ac:dyDescent="0.25">
      <c r="A45" t="s">
        <v>512</v>
      </c>
      <c r="B45" t="s">
        <v>535</v>
      </c>
      <c r="C45" t="s">
        <v>481</v>
      </c>
      <c r="D45" t="s">
        <v>451</v>
      </c>
      <c r="E45" t="s">
        <v>513</v>
      </c>
      <c r="F45" t="s">
        <v>452</v>
      </c>
      <c r="G45" t="s">
        <v>432</v>
      </c>
      <c r="H45" t="s">
        <v>433</v>
      </c>
    </row>
    <row r="46" spans="1:8" x14ac:dyDescent="0.25">
      <c r="A46" t="s">
        <v>514</v>
      </c>
      <c r="B46" t="s">
        <v>535</v>
      </c>
      <c r="C46" t="s">
        <v>481</v>
      </c>
      <c r="D46" t="s">
        <v>451</v>
      </c>
      <c r="E46" t="s">
        <v>515</v>
      </c>
      <c r="F46" t="s">
        <v>452</v>
      </c>
      <c r="G46" t="s">
        <v>432</v>
      </c>
      <c r="H46" t="s">
        <v>433</v>
      </c>
    </row>
    <row r="47" spans="1:8" x14ac:dyDescent="0.25">
      <c r="A47" t="s">
        <v>305</v>
      </c>
      <c r="B47" t="s">
        <v>535</v>
      </c>
      <c r="C47" t="s">
        <v>457</v>
      </c>
      <c r="D47" t="s">
        <v>451</v>
      </c>
      <c r="E47" t="s">
        <v>504</v>
      </c>
      <c r="F47" t="s">
        <v>431</v>
      </c>
      <c r="G47" t="s">
        <v>432</v>
      </c>
      <c r="H47" t="s">
        <v>433</v>
      </c>
    </row>
    <row r="48" spans="1:8" x14ac:dyDescent="0.25">
      <c r="A48" t="s">
        <v>310</v>
      </c>
      <c r="B48" t="s">
        <v>535</v>
      </c>
      <c r="C48" t="s">
        <v>516</v>
      </c>
      <c r="D48" t="s">
        <v>451</v>
      </c>
      <c r="E48" t="s">
        <v>504</v>
      </c>
      <c r="F48" t="s">
        <v>440</v>
      </c>
      <c r="G48" t="s">
        <v>432</v>
      </c>
      <c r="H48" t="s">
        <v>433</v>
      </c>
    </row>
    <row r="49" spans="1:8" x14ac:dyDescent="0.25">
      <c r="A49" t="s">
        <v>517</v>
      </c>
      <c r="B49" t="s">
        <v>535</v>
      </c>
      <c r="C49" t="s">
        <v>518</v>
      </c>
      <c r="D49" t="s">
        <v>451</v>
      </c>
      <c r="E49" t="s">
        <v>504</v>
      </c>
      <c r="F49" t="s">
        <v>440</v>
      </c>
      <c r="G49" t="s">
        <v>432</v>
      </c>
      <c r="H49" t="s">
        <v>446</v>
      </c>
    </row>
    <row r="50" spans="1:8" x14ac:dyDescent="0.25">
      <c r="A50" t="s">
        <v>331</v>
      </c>
      <c r="B50" t="s">
        <v>535</v>
      </c>
      <c r="C50" t="s">
        <v>519</v>
      </c>
      <c r="D50" t="s">
        <v>451</v>
      </c>
      <c r="E50" t="s">
        <v>504</v>
      </c>
      <c r="F50" t="s">
        <v>440</v>
      </c>
      <c r="G50" t="s">
        <v>432</v>
      </c>
      <c r="H50" t="s">
        <v>433</v>
      </c>
    </row>
    <row r="51" spans="1:8" x14ac:dyDescent="0.25">
      <c r="A51" t="s">
        <v>520</v>
      </c>
      <c r="B51" t="s">
        <v>535</v>
      </c>
      <c r="C51" t="s">
        <v>521</v>
      </c>
      <c r="D51" t="s">
        <v>429</v>
      </c>
      <c r="E51" t="s">
        <v>455</v>
      </c>
      <c r="F51" t="s">
        <v>440</v>
      </c>
      <c r="G51" t="s">
        <v>432</v>
      </c>
      <c r="H51" t="s">
        <v>433</v>
      </c>
    </row>
    <row r="52" spans="1:8" x14ac:dyDescent="0.25">
      <c r="A52" t="s">
        <v>522</v>
      </c>
      <c r="B52" t="s">
        <v>535</v>
      </c>
      <c r="C52" t="s">
        <v>523</v>
      </c>
      <c r="D52" t="s">
        <v>429</v>
      </c>
      <c r="E52" t="s">
        <v>437</v>
      </c>
      <c r="F52" t="s">
        <v>440</v>
      </c>
      <c r="G52" t="s">
        <v>432</v>
      </c>
      <c r="H52" t="s">
        <v>433</v>
      </c>
    </row>
    <row r="53" spans="1:8" x14ac:dyDescent="0.25">
      <c r="A53" t="s">
        <v>524</v>
      </c>
      <c r="B53" t="s">
        <v>535</v>
      </c>
      <c r="C53" t="s">
        <v>525</v>
      </c>
      <c r="D53" t="s">
        <v>429</v>
      </c>
      <c r="E53" t="s">
        <v>455</v>
      </c>
      <c r="F53" t="s">
        <v>440</v>
      </c>
      <c r="G53" t="s">
        <v>432</v>
      </c>
      <c r="H53" t="s">
        <v>433</v>
      </c>
    </row>
    <row r="54" spans="1:8" x14ac:dyDescent="0.25">
      <c r="A54" t="s">
        <v>526</v>
      </c>
      <c r="B54" t="s">
        <v>535</v>
      </c>
      <c r="C54" t="s">
        <v>527</v>
      </c>
      <c r="D54" t="s">
        <v>451</v>
      </c>
      <c r="E54" t="s">
        <v>507</v>
      </c>
      <c r="F54" t="s">
        <v>528</v>
      </c>
      <c r="G54" t="s">
        <v>432</v>
      </c>
      <c r="H54" t="s">
        <v>433</v>
      </c>
    </row>
    <row r="55" spans="1:8" x14ac:dyDescent="0.25">
      <c r="A55" t="s">
        <v>365</v>
      </c>
      <c r="B55" t="s">
        <v>535</v>
      </c>
      <c r="C55" t="s">
        <v>434</v>
      </c>
      <c r="D55" t="s">
        <v>429</v>
      </c>
      <c r="E55" t="s">
        <v>437</v>
      </c>
      <c r="F55" t="s">
        <v>431</v>
      </c>
      <c r="G55" t="s">
        <v>432</v>
      </c>
      <c r="H55" t="s">
        <v>433</v>
      </c>
    </row>
    <row r="56" spans="1:8" x14ac:dyDescent="0.25">
      <c r="A56" t="s">
        <v>529</v>
      </c>
      <c r="B56" t="s">
        <v>535</v>
      </c>
      <c r="C56" t="s">
        <v>434</v>
      </c>
      <c r="D56" t="s">
        <v>429</v>
      </c>
      <c r="E56" t="s">
        <v>437</v>
      </c>
      <c r="F56" t="s">
        <v>431</v>
      </c>
      <c r="G56" t="s">
        <v>432</v>
      </c>
      <c r="H56" t="s">
        <v>433</v>
      </c>
    </row>
    <row r="57" spans="1:8" x14ac:dyDescent="0.25">
      <c r="A57" t="s">
        <v>530</v>
      </c>
      <c r="B57" t="s">
        <v>535</v>
      </c>
      <c r="C57" t="s">
        <v>457</v>
      </c>
      <c r="D57" t="s">
        <v>429</v>
      </c>
      <c r="E57" t="s">
        <v>437</v>
      </c>
      <c r="F57" t="s">
        <v>440</v>
      </c>
      <c r="G57" t="s">
        <v>432</v>
      </c>
      <c r="H57" t="s">
        <v>433</v>
      </c>
    </row>
    <row r="58" spans="1:8" x14ac:dyDescent="0.25">
      <c r="A58" t="s">
        <v>379</v>
      </c>
      <c r="B58" t="s">
        <v>535</v>
      </c>
      <c r="C58" t="s">
        <v>434</v>
      </c>
      <c r="D58" t="s">
        <v>429</v>
      </c>
      <c r="E58" t="s">
        <v>435</v>
      </c>
      <c r="F58" t="s">
        <v>431</v>
      </c>
      <c r="G58" t="s">
        <v>432</v>
      </c>
      <c r="H58" t="s">
        <v>433</v>
      </c>
    </row>
    <row r="59" spans="1:8" x14ac:dyDescent="0.25">
      <c r="A59" t="s">
        <v>531</v>
      </c>
      <c r="B59" t="s">
        <v>535</v>
      </c>
      <c r="C59" t="s">
        <v>428</v>
      </c>
      <c r="D59" t="s">
        <v>429</v>
      </c>
      <c r="E59" t="s">
        <v>437</v>
      </c>
      <c r="F59" t="s">
        <v>431</v>
      </c>
      <c r="G59" t="s">
        <v>432</v>
      </c>
      <c r="H59" t="s">
        <v>433</v>
      </c>
    </row>
    <row r="60" spans="1:8" x14ac:dyDescent="0.25">
      <c r="A60" t="s">
        <v>394</v>
      </c>
      <c r="B60" t="s">
        <v>535</v>
      </c>
      <c r="C60" t="s">
        <v>434</v>
      </c>
      <c r="D60" t="s">
        <v>429</v>
      </c>
      <c r="E60" t="s">
        <v>437</v>
      </c>
      <c r="F60" t="s">
        <v>431</v>
      </c>
      <c r="G60" t="s">
        <v>432</v>
      </c>
      <c r="H60" t="s">
        <v>433</v>
      </c>
    </row>
    <row r="61" spans="1:8" x14ac:dyDescent="0.25">
      <c r="A61" t="s">
        <v>532</v>
      </c>
      <c r="B61" t="s">
        <v>535</v>
      </c>
      <c r="C61" t="s">
        <v>434</v>
      </c>
      <c r="D61" t="s">
        <v>429</v>
      </c>
      <c r="E61" t="s">
        <v>437</v>
      </c>
      <c r="F61" t="s">
        <v>431</v>
      </c>
      <c r="G61" t="s">
        <v>432</v>
      </c>
      <c r="H61" t="s">
        <v>433</v>
      </c>
    </row>
    <row r="62" spans="1:8" x14ac:dyDescent="0.25">
      <c r="A62" t="s">
        <v>533</v>
      </c>
      <c r="B62" t="s">
        <v>535</v>
      </c>
      <c r="C62" t="s">
        <v>434</v>
      </c>
      <c r="D62" t="s">
        <v>429</v>
      </c>
      <c r="E62" t="s">
        <v>437</v>
      </c>
      <c r="F62" t="s">
        <v>431</v>
      </c>
      <c r="G62" t="s">
        <v>432</v>
      </c>
      <c r="H62" t="s">
        <v>433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21"/>
  <sheetViews>
    <sheetView showGridLines="0" workbookViewId="0">
      <selection activeCell="E16" sqref="E16"/>
    </sheetView>
  </sheetViews>
  <sheetFormatPr baseColWidth="10" defaultColWidth="9.140625" defaultRowHeight="15" x14ac:dyDescent="0.25"/>
  <cols>
    <col min="1" max="1" width="46.28515625" bestFit="1" customWidth="1"/>
    <col min="2" max="2" width="14.28515625" bestFit="1" customWidth="1"/>
    <col min="4" max="4" width="12.5703125" bestFit="1" customWidth="1"/>
    <col min="5" max="5" width="14.28515625" bestFit="1" customWidth="1"/>
  </cols>
  <sheetData>
    <row r="3" spans="1:5" x14ac:dyDescent="0.25">
      <c r="A3" s="2" t="s">
        <v>553</v>
      </c>
      <c r="B3" t="s">
        <v>551</v>
      </c>
      <c r="D3" s="2" t="s">
        <v>534</v>
      </c>
      <c r="E3" t="s">
        <v>551</v>
      </c>
    </row>
    <row r="4" spans="1:5" x14ac:dyDescent="0.25">
      <c r="A4" s="3" t="s">
        <v>28</v>
      </c>
      <c r="B4" s="4">
        <v>9</v>
      </c>
      <c r="D4" s="3" t="s">
        <v>12</v>
      </c>
      <c r="E4" s="4">
        <v>124</v>
      </c>
    </row>
    <row r="5" spans="1:5" x14ac:dyDescent="0.25">
      <c r="A5" s="3" t="s">
        <v>9</v>
      </c>
      <c r="B5" s="4">
        <v>179</v>
      </c>
      <c r="D5" s="3" t="s">
        <v>535</v>
      </c>
      <c r="E5" s="4">
        <v>64</v>
      </c>
    </row>
    <row r="6" spans="1:5" x14ac:dyDescent="0.25">
      <c r="A6" s="3" t="s">
        <v>550</v>
      </c>
      <c r="B6" s="4">
        <v>188</v>
      </c>
      <c r="D6" s="3" t="s">
        <v>550</v>
      </c>
      <c r="E6" s="4">
        <v>188</v>
      </c>
    </row>
    <row r="8" spans="1:5" x14ac:dyDescent="0.25">
      <c r="A8" s="2" t="s">
        <v>554</v>
      </c>
      <c r="B8" t="s">
        <v>551</v>
      </c>
    </row>
    <row r="9" spans="1:5" x14ac:dyDescent="0.25">
      <c r="A9" s="3" t="s">
        <v>539</v>
      </c>
      <c r="B9" s="4">
        <v>1</v>
      </c>
    </row>
    <row r="10" spans="1:5" x14ac:dyDescent="0.25">
      <c r="A10" s="3" t="s">
        <v>549</v>
      </c>
      <c r="B10" s="4">
        <v>2</v>
      </c>
    </row>
    <row r="11" spans="1:5" x14ac:dyDescent="0.25">
      <c r="A11" s="3" t="s">
        <v>540</v>
      </c>
      <c r="B11" s="4">
        <v>1</v>
      </c>
    </row>
    <row r="12" spans="1:5" x14ac:dyDescent="0.25">
      <c r="A12" s="3" t="s">
        <v>548</v>
      </c>
      <c r="B12" s="4">
        <v>7</v>
      </c>
    </row>
    <row r="13" spans="1:5" x14ac:dyDescent="0.25">
      <c r="A13" s="3" t="s">
        <v>547</v>
      </c>
      <c r="B13" s="4">
        <v>3</v>
      </c>
    </row>
    <row r="14" spans="1:5" x14ac:dyDescent="0.25">
      <c r="A14" s="3" t="s">
        <v>542</v>
      </c>
      <c r="B14" s="4">
        <v>15</v>
      </c>
    </row>
    <row r="15" spans="1:5" x14ac:dyDescent="0.25">
      <c r="A15" s="3" t="s">
        <v>543</v>
      </c>
      <c r="B15" s="4">
        <v>4</v>
      </c>
    </row>
    <row r="16" spans="1:5" x14ac:dyDescent="0.25">
      <c r="A16" s="3" t="s">
        <v>541</v>
      </c>
      <c r="B16" s="4">
        <v>83</v>
      </c>
    </row>
    <row r="17" spans="1:2" x14ac:dyDescent="0.25">
      <c r="A17" s="3" t="s">
        <v>545</v>
      </c>
      <c r="B17" s="4">
        <v>45</v>
      </c>
    </row>
    <row r="18" spans="1:2" x14ac:dyDescent="0.25">
      <c r="A18" s="3" t="s">
        <v>544</v>
      </c>
      <c r="B18" s="4">
        <v>17</v>
      </c>
    </row>
    <row r="19" spans="1:2" x14ac:dyDescent="0.25">
      <c r="A19" s="3" t="s">
        <v>546</v>
      </c>
      <c r="B19" s="4">
        <v>5</v>
      </c>
    </row>
    <row r="20" spans="1:2" x14ac:dyDescent="0.25">
      <c r="A20" s="3" t="s">
        <v>552</v>
      </c>
      <c r="B20" s="4">
        <v>5</v>
      </c>
    </row>
    <row r="21" spans="1:2" x14ac:dyDescent="0.25">
      <c r="A21" s="3" t="s">
        <v>550</v>
      </c>
      <c r="B21" s="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Maquinas Virtuales</vt:lpstr>
      <vt:lpstr>SQL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Sandoval</dc:creator>
  <cp:lastModifiedBy>DiegoBR</cp:lastModifiedBy>
  <dcterms:created xsi:type="dcterms:W3CDTF">2022-01-06T13:10:21Z</dcterms:created>
  <dcterms:modified xsi:type="dcterms:W3CDTF">2022-01-06T14:22:46Z</dcterms:modified>
</cp:coreProperties>
</file>