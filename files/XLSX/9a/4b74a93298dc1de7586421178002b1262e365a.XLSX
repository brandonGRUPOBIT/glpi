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baque_grupobusiness_it/Documents/Servicio Administrado reporte/CHEVYPLAN/Optimización/"/>
    </mc:Choice>
  </mc:AlternateContent>
  <xr:revisionPtr revIDLastSave="267" documentId="8_{69F12223-D2E9-480E-AA1B-B9E498C94487}" xr6:coauthVersionLast="47" xr6:coauthVersionMax="47" xr10:uidLastSave="{D1D49600-C2E0-4817-ADAA-FC2DDB525DF0}"/>
  <bookViews>
    <workbookView xWindow="23880" yWindow="-120" windowWidth="21840" windowHeight="13140" xr2:uid="{14838034-BACB-4F46-B63F-FA988D246975}"/>
  </bookViews>
  <sheets>
    <sheet name="VMs inventario" sheetId="1" r:id="rId1"/>
    <sheet name="Storage" sheetId="3" r:id="rId2"/>
    <sheet name="Disco Huerfano" sheetId="4" r:id="rId3"/>
    <sheet name="Snapshot" sheetId="5" r:id="rId4"/>
    <sheet name="IR" sheetId="2" r:id="rId5"/>
    <sheet name="Detall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" i="6" l="1"/>
  <c r="C6" i="6"/>
  <c r="R20" i="1"/>
  <c r="R22" i="1" s="1"/>
  <c r="L20" i="1"/>
  <c r="C4" i="6" s="1"/>
  <c r="N24" i="3"/>
  <c r="Q14" i="3" s="1"/>
  <c r="C5" i="6" s="1"/>
  <c r="H7" i="4"/>
  <c r="H13" i="5"/>
  <c r="G11" i="2"/>
  <c r="B25" i="2"/>
  <c r="B33" i="1"/>
  <c r="E4" i="6" l="1"/>
  <c r="E9" i="6" s="1"/>
  <c r="E13" i="6" s="1"/>
  <c r="G4" i="6"/>
  <c r="G9" i="6" s="1"/>
  <c r="C9" i="6"/>
  <c r="C13" i="6" s="1"/>
  <c r="G13" i="6" l="1"/>
  <c r="G10" i="6"/>
  <c r="E10" i="6"/>
  <c r="E11" i="6" s="1"/>
</calcChain>
</file>

<file path=xl/sharedStrings.xml><?xml version="1.0" encoding="utf-8"?>
<sst xmlns="http://schemas.openxmlformats.org/spreadsheetml/2006/main" count="373" uniqueCount="178">
  <si>
    <t>NAME</t>
  </si>
  <si>
    <t>OPERATING SYSTEM</t>
  </si>
  <si>
    <t>SIZE</t>
  </si>
  <si>
    <t>PRIVATE IP ADDRESS</t>
  </si>
  <si>
    <t>PUBLIC IP ADDRESS</t>
  </si>
  <si>
    <t>RESOURCE GROUP</t>
  </si>
  <si>
    <t>LOCATION</t>
  </si>
  <si>
    <t>STATUS</t>
  </si>
  <si>
    <t>TAGS</t>
  </si>
  <si>
    <t>DISKS</t>
  </si>
  <si>
    <t>Horas Mensual</t>
  </si>
  <si>
    <t xml:space="preserve">PVP APROX </t>
  </si>
  <si>
    <t>CPU MAX</t>
  </si>
  <si>
    <t>CPU AVG</t>
  </si>
  <si>
    <t>RAM MAX</t>
  </si>
  <si>
    <t>RAM AVG</t>
  </si>
  <si>
    <t>Plantilla Recomendada</t>
  </si>
  <si>
    <t>PVP Aprox</t>
  </si>
  <si>
    <t>ECAZLVLACETTI</t>
  </si>
  <si>
    <t>Linux</t>
  </si>
  <si>
    <t>Standard B2s (2 vcpus, 4 GiB memory)</t>
  </si>
  <si>
    <t>10.0.0.4</t>
  </si>
  <si>
    <t>104.42.75.112</t>
  </si>
  <si>
    <t>planautomotor</t>
  </si>
  <si>
    <t>West US</t>
  </si>
  <si>
    <t>Running</t>
  </si>
  <si>
    <t>24 horas</t>
  </si>
  <si>
    <t>ECAZWVCAMARO</t>
  </si>
  <si>
    <t>Windows</t>
  </si>
  <si>
    <t>Standard B4ms (4 vcpus, 16 GiB memory)</t>
  </si>
  <si>
    <t>10.128.0.7</t>
  </si>
  <si>
    <t>-</t>
  </si>
  <si>
    <t>produccion</t>
  </si>
  <si>
    <t>East US</t>
  </si>
  <si>
    <t>ECAZWVCAPTIVA</t>
  </si>
  <si>
    <t>Standard B2ms (2 vcpus, 8 GiB memory)</t>
  </si>
  <si>
    <t>10.128.0.13</t>
  </si>
  <si>
    <t>ECAZWVCAVALIER</t>
  </si>
  <si>
    <t>10.128.0.11</t>
  </si>
  <si>
    <t>Lunes - Viernes":"9am - 7pm"</t>
  </si>
  <si>
    <t>ECAZWVCORSA</t>
  </si>
  <si>
    <t>10.128.0.15</t>
  </si>
  <si>
    <t>producciondatalife</t>
  </si>
  <si>
    <t>Stopped (deallocated)</t>
  </si>
  <si>
    <t>Apagado de VM</t>
  </si>
  <si>
    <t> </t>
  </si>
  <si>
    <t>ECAZWVEQUINOX</t>
  </si>
  <si>
    <t>Standard E8s v3 (8 vcpus, 64 GiB memory)</t>
  </si>
  <si>
    <t>10.128.0.30</t>
  </si>
  <si>
    <t>produccionscp</t>
  </si>
  <si>
    <t>Standard D16ads_v5 (16 vcpus, 64 GiB memory)</t>
  </si>
  <si>
    <t>ECAZWVIMPALA</t>
  </si>
  <si>
    <t>Standard D2s v3 (2 vcpus, 8 GiB memory)</t>
  </si>
  <si>
    <t>10.128.0.18</t>
  </si>
  <si>
    <t>52.149.210.173</t>
  </si>
  <si>
    <t>ECAZWVLUV</t>
  </si>
  <si>
    <t>10.128.0.5</t>
  </si>
  <si>
    <t>StartShutDown</t>
  </si>
  <si>
    <t>ECAZWVONIX</t>
  </si>
  <si>
    <t>Standard B20ms (20 vcpus, 80 GiB memory)</t>
  </si>
  <si>
    <t>10.128.0.10</t>
  </si>
  <si>
    <t>StartShutDown 1:00 AM</t>
  </si>
  <si>
    <t>ECAZWVOPTRA</t>
  </si>
  <si>
    <t>10.128.0.17</t>
  </si>
  <si>
    <t>40.117.224.58</t>
  </si>
  <si>
    <t>produccionventas</t>
  </si>
  <si>
    <t>ECAZWVORLANDO</t>
  </si>
  <si>
    <t>10.128.0.14</t>
  </si>
  <si>
    <t>Lunes - Viernes":"8am - 8pm</t>
  </si>
  <si>
    <t>ECAZWVPLANAUTO</t>
  </si>
  <si>
    <t>192.168.0.4</t>
  </si>
  <si>
    <t>13.82.25.105</t>
  </si>
  <si>
    <t>ECAZWVSILVERADO</t>
  </si>
  <si>
    <t>10.128.0.32</t>
  </si>
  <si>
    <t>produccionauraquantic_dbb</t>
  </si>
  <si>
    <t>ECAZWVSPIN</t>
  </si>
  <si>
    <t>10.128.0.6</t>
  </si>
  <si>
    <t>Standard B8ms (8 vcpus, 32 GiB memory)</t>
  </si>
  <si>
    <t>ECAZWVSWIFT</t>
  </si>
  <si>
    <t>10.128.0.8</t>
  </si>
  <si>
    <t>ECAZWVTAHOE</t>
  </si>
  <si>
    <t>Standard E4as v4 (4 vcpus, 32 GiB memory)</t>
  </si>
  <si>
    <t>10.128.0.54</t>
  </si>
  <si>
    <t>produccion_app_auraquantic</t>
  </si>
  <si>
    <t>ECAZWVTROPPER</t>
  </si>
  <si>
    <t>10.128.0.12</t>
  </si>
  <si>
    <t>ECAZWVVOLT</t>
  </si>
  <si>
    <t>Standard DS12 v2 (4 vcpus, 28 GiB memory)</t>
  </si>
  <si>
    <t>10.128.0.9</t>
  </si>
  <si>
    <t>Plantillas IR</t>
  </si>
  <si>
    <t>Cantidad</t>
  </si>
  <si>
    <t>Standard_B20ms</t>
  </si>
  <si>
    <t>Standard_B2ms</t>
  </si>
  <si>
    <t>Standard_B2s</t>
  </si>
  <si>
    <t>Standard_B4ms</t>
  </si>
  <si>
    <t>Standard_D2s_v3</t>
  </si>
  <si>
    <t>Standard_DS12_v2</t>
  </si>
  <si>
    <t>Standard_E4as_v4</t>
  </si>
  <si>
    <t>Standard_E8s_v3</t>
  </si>
  <si>
    <t>producciondisks568</t>
  </si>
  <si>
    <t>ecazwvcamaro-31f2a42da9aa48ceb0eacffbc8fff589</t>
  </si>
  <si>
    <t>Premium</t>
  </si>
  <si>
    <t>STORAGE ACCOUNT TYPE</t>
  </si>
  <si>
    <t>SIZE (GIB)</t>
  </si>
  <si>
    <t>OWNER</t>
  </si>
  <si>
    <t>TIME CREATED</t>
  </si>
  <si>
    <t>PVP Mensual</t>
  </si>
  <si>
    <t>ecazlvlacetti-osdisk-20210512-165201</t>
  </si>
  <si>
    <t>Standard SSD LRS</t>
  </si>
  <si>
    <t>5/12/2021, 12:07:04 PM</t>
  </si>
  <si>
    <t>ecazlvlacetti-osdisk-20220114-021150</t>
  </si>
  <si>
    <t>1/13/2022, 9:11:53 PM</t>
  </si>
  <si>
    <t>ECAZWVSPIN_OsDisk_1_f2715619ce214bc28733afab225e36ee</t>
  </si>
  <si>
    <t>6/24/2019, 3:27:42 PM</t>
  </si>
  <si>
    <t>SOURCE DISK</t>
  </si>
  <si>
    <t>SNAPSHOT</t>
  </si>
  <si>
    <t>DISK SIZE (GIB)</t>
  </si>
  <si>
    <t>ECAZLVLACETTI_17_02_2022</t>
  </si>
  <si>
    <t>ecazlvlacetti-osdisk-20220215-204839</t>
  </si>
  <si>
    <t>Full</t>
  </si>
  <si>
    <t>2/17/2022, 12:03:58 PM</t>
  </si>
  <si>
    <t>ECAZWVCAVALIER-Backup-C</t>
  </si>
  <si>
    <t>ECAZWVCAVALIER_OsDisk_1_1a3d6c5632324b5688f08eeb59309627</t>
  </si>
  <si>
    <t>5/11/2021, 4:03:30 PM</t>
  </si>
  <si>
    <t>ECAZWVCAVALIER-Backup-Data01</t>
  </si>
  <si>
    <t>ECAZWVCAVALIER_DataDisk_0</t>
  </si>
  <si>
    <t>5/11/2021, 4:04:20 PM</t>
  </si>
  <si>
    <t>ECAZWVCAVALIER-Backup-Data03</t>
  </si>
  <si>
    <t>ECAZWVCAVALIER_DataDisk_2</t>
  </si>
  <si>
    <t>5/11/2021, 5:25:38 PM</t>
  </si>
  <si>
    <t>ECAZWVCAVALIER-Data02</t>
  </si>
  <si>
    <t>ECAZWVCAVALIER_DataDisk_1</t>
  </si>
  <si>
    <t>5/11/2021, 4:08:34 PM</t>
  </si>
  <si>
    <t>ECAZWVORLANDO-Backup-C</t>
  </si>
  <si>
    <t>ECAZWVORLANDO_disk1_55e156f591ec40218d8c9b99baac1b34</t>
  </si>
  <si>
    <t>5/11/2021, 5:30:43 PM</t>
  </si>
  <si>
    <t>Equinox25042022</t>
  </si>
  <si>
    <t>ECAZWVEQUINOX_OsDisk_1_2975260fc830452fa4067bea359e23b6</t>
  </si>
  <si>
    <t>4/25/2022, 1:52:14 PM</t>
  </si>
  <si>
    <t>respaldos352022_ticket</t>
  </si>
  <si>
    <t>PlanAuto_SO</t>
  </si>
  <si>
    <t>5/3/2022, 11:09:54 AM</t>
  </si>
  <si>
    <t>resplado150122</t>
  </si>
  <si>
    <t>ECAZWVPLANAUTO_190743d89ddd40ad8b6f6304d26c48ce</t>
  </si>
  <si>
    <t>1/15/2022, 11:13:13 PM</t>
  </si>
  <si>
    <t>Name</t>
  </si>
  <si>
    <t>Status</t>
  </si>
  <si>
    <t>Expiration date</t>
  </si>
  <si>
    <t>Scope</t>
  </si>
  <si>
    <t>Product name</t>
  </si>
  <si>
    <t>Region</t>
  </si>
  <si>
    <t>Quantity</t>
  </si>
  <si>
    <t>D2s_v3-VM_RI_08-02-2021_14-27</t>
  </si>
  <si>
    <t>Expiring</t>
  </si>
  <si>
    <t>Shared</t>
  </si>
  <si>
    <t>eastus</t>
  </si>
  <si>
    <t>B2ms-VM_RI_08-02-2021_14-26</t>
  </si>
  <si>
    <t>B4ms-VM_RI_08-02-2021_14-26</t>
  </si>
  <si>
    <t>Ds12_v2-VM_RI_08-02-2021_14-27</t>
  </si>
  <si>
    <t>E4as_v4-VM_RI_08-02-2021_14-28</t>
  </si>
  <si>
    <t>E8s_v3-VM_RI_08-02-2021_14-28</t>
  </si>
  <si>
    <t>B2s-VM_RI_08-02-2021_14-26</t>
  </si>
  <si>
    <t>B20ms-VM_RI_08-02-2021_14-27</t>
  </si>
  <si>
    <t>B2s-VM_RI_08-02-2021_14-27</t>
  </si>
  <si>
    <t>westus</t>
  </si>
  <si>
    <t>Detalle de Recurso</t>
  </si>
  <si>
    <t>PVP Aprox. Mensual</t>
  </si>
  <si>
    <t>Escenario 1</t>
  </si>
  <si>
    <t>Escenario 2</t>
  </si>
  <si>
    <t>VM Inventario</t>
  </si>
  <si>
    <t>Mejorar Performance</t>
  </si>
  <si>
    <t>Storage</t>
  </si>
  <si>
    <t>Eliminar Storage</t>
  </si>
  <si>
    <t>Disco huérfano</t>
  </si>
  <si>
    <t>Eliminar discos</t>
  </si>
  <si>
    <t>Snapshot</t>
  </si>
  <si>
    <t>Eliminar Snapshot</t>
  </si>
  <si>
    <t>Valor Aprox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</si>
</sst>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_-* #,##0.00\ &quot;€&quot;_-;\-* #,##0.00\ &quot;€&quot;_-;_-* &quot;-&quot;??\ &quot;€&quot;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Segoe UI"/>
      <family val="2"/>
    </font>
    <font>
      <sz val="8"/>
      <color rgb="FFFF0000"/>
      <name val="Segoe UI"/>
      <family val="2"/>
    </font>
    <font>
      <sz val="8"/>
      <color theme="4"/>
      <name val="Segoe UI"/>
      <family val="2"/>
    </font>
    <font>
      <sz val="8"/>
      <color rgb="FF000000"/>
      <name val="Calibri"/>
      <family val="2"/>
    </font>
    <font>
      <sz val="8"/>
      <color theme="1"/>
      <name val="Segoe UI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19" fillId="0" borderId="0" xfId="0" applyFont="1"/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14" fillId="0" borderId="0" xfId="0" applyFont="1"/>
    <xf numFmtId="14" fontId="0" fillId="0" borderId="0" xfId="0" applyNumberFormat="1"/>
    <xf numFmtId="0" fontId="20" fillId="0" borderId="0" xfId="0" applyFont="1"/>
    <xf numFmtId="0" fontId="0" fillId="33" borderId="0" xfId="0" applyFill="1"/>
    <xf numFmtId="0" fontId="18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/>
    <xf numFmtId="44" fontId="18" fillId="0" borderId="0" xfId="42" applyNumberFormat="1" applyFont="1"/>
    <xf numFmtId="44" fontId="18" fillId="34" borderId="0" xfId="42" applyNumberFormat="1" applyFont="1" applyFill="1"/>
    <xf numFmtId="44" fontId="0" fillId="0" borderId="0" xfId="42" applyNumberFormat="1" applyFont="1"/>
    <xf numFmtId="44" fontId="0" fillId="34" borderId="0" xfId="42" applyNumberFormat="1" applyFont="1" applyFill="1"/>
    <xf numFmtId="44" fontId="0" fillId="0" borderId="0" xfId="0" applyNumberFormat="1"/>
    <xf numFmtId="44" fontId="0" fillId="34" borderId="0" xfId="0" applyNumberFormat="1" applyFill="1"/>
    <xf numFmtId="44" fontId="18" fillId="0" borderId="0" xfId="42" applyNumberFormat="1" applyFont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4" fontId="18" fillId="34" borderId="0" xfId="42" applyNumberFormat="1" applyFont="1" applyFill="1" applyAlignment="1">
      <alignment horizontal="center" vertical="center"/>
    </xf>
    <xf numFmtId="0" fontId="21" fillId="0" borderId="0" xfId="0" applyFont="1" applyFill="1" applyBorder="1" applyAlignment="1"/>
    <xf numFmtId="0" fontId="24" fillId="0" borderId="0" xfId="0" applyFont="1"/>
    <xf numFmtId="44" fontId="22" fillId="0" borderId="0" xfId="42" applyNumberFormat="1" applyFont="1" applyAlignment="1">
      <alignment horizontal="center" vertical="center"/>
    </xf>
    <xf numFmtId="44" fontId="23" fillId="34" borderId="0" xfId="0" applyNumberFormat="1" applyFont="1" applyFill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44" fontId="0" fillId="0" borderId="13" xfId="42" applyNumberFormat="1" applyFont="1" applyBorder="1"/>
    <xf numFmtId="0" fontId="0" fillId="0" borderId="14" xfId="0" applyBorder="1"/>
    <xf numFmtId="44" fontId="0" fillId="0" borderId="0" xfId="42" applyNumberFormat="1" applyFont="1" applyBorder="1"/>
    <xf numFmtId="0" fontId="0" fillId="0" borderId="15" xfId="0" applyBorder="1"/>
    <xf numFmtId="44" fontId="0" fillId="0" borderId="16" xfId="42" applyNumberFormat="1" applyFont="1" applyBorder="1"/>
    <xf numFmtId="0" fontId="0" fillId="0" borderId="16" xfId="0" applyBorder="1"/>
    <xf numFmtId="0" fontId="0" fillId="0" borderId="0" xfId="0" applyBorder="1"/>
    <xf numFmtId="44" fontId="0" fillId="0" borderId="17" xfId="0" applyNumberFormat="1" applyBorder="1"/>
    <xf numFmtId="0" fontId="0" fillId="0" borderId="18" xfId="0" applyBorder="1"/>
    <xf numFmtId="44" fontId="0" fillId="0" borderId="18" xfId="42" applyNumberFormat="1" applyFont="1" applyBorder="1"/>
    <xf numFmtId="0" fontId="0" fillId="0" borderId="19" xfId="0" applyBorder="1"/>
    <xf numFmtId="44" fontId="0" fillId="0" borderId="20" xfId="42" applyNumberFormat="1" applyFont="1" applyBorder="1"/>
    <xf numFmtId="9" fontId="0" fillId="0" borderId="0" xfId="43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Porcentaje" xfId="43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4">
    <dxf>
      <numFmt numFmtId="19" formatCode="d/m/yyyy"/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4" formatCode="_ &quot;$&quot;* #,##0.00_ ;_ &quot;$&quot;* \-#,##0.00_ ;_ &quot;$&quot;* &quot;-&quot;??_ ;_ @_ 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z val="8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z val="8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z val="8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z val="8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34" formatCode="_ &quot;$&quot;* #,##0.00_ ;_ &quot;$&quot;* \-#,##0.00_ ;_ &quot;$&quot;* &quot;-&quot;??_ ;_ @_ 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z val="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4</xdr:row>
      <xdr:rowOff>180975</xdr:rowOff>
    </xdr:from>
    <xdr:to>
      <xdr:col>14</xdr:col>
      <xdr:colOff>382506</xdr:colOff>
      <xdr:row>7</xdr:row>
      <xdr:rowOff>38100</xdr:rowOff>
    </xdr:to>
    <xdr:pic>
      <xdr:nvPicPr>
        <xdr:cNvPr id="13" name="Imagen 1">
          <a:extLst>
            <a:ext uri="{FF2B5EF4-FFF2-40B4-BE49-F238E27FC236}">
              <a16:creationId xmlns:a16="http://schemas.microsoft.com/office/drawing/2014/main" id="{42ECDE53-9E70-D7C1-EFE2-9188DFCFD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942975"/>
          <a:ext cx="8745456" cy="428625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180976</xdr:colOff>
      <xdr:row>7</xdr:row>
      <xdr:rowOff>142875</xdr:rowOff>
    </xdr:from>
    <xdr:to>
      <xdr:col>14</xdr:col>
      <xdr:colOff>295276</xdr:colOff>
      <xdr:row>9</xdr:row>
      <xdr:rowOff>139698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id="{64165750-D329-EF22-21A6-122331E9A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976" y="1476375"/>
          <a:ext cx="8648700" cy="377823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10</xdr:row>
      <xdr:rowOff>180976</xdr:rowOff>
    </xdr:from>
    <xdr:to>
      <xdr:col>14</xdr:col>
      <xdr:colOff>428625</xdr:colOff>
      <xdr:row>12</xdr:row>
      <xdr:rowOff>127656</xdr:rowOff>
    </xdr:to>
    <xdr:pic>
      <xdr:nvPicPr>
        <xdr:cNvPr id="10" name="Imagen 3">
          <a:extLst>
            <a:ext uri="{FF2B5EF4-FFF2-40B4-BE49-F238E27FC236}">
              <a16:creationId xmlns:a16="http://schemas.microsoft.com/office/drawing/2014/main" id="{3347EEAF-EAEB-6E2E-3477-C48E6AEA3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2085976"/>
          <a:ext cx="8791575" cy="327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14</xdr:col>
      <xdr:colOff>581025</xdr:colOff>
      <xdr:row>19</xdr:row>
      <xdr:rowOff>23755</xdr:rowOff>
    </xdr:to>
    <xdr:pic>
      <xdr:nvPicPr>
        <xdr:cNvPr id="15" name="Imagen 4">
          <a:extLst>
            <a:ext uri="{FF2B5EF4-FFF2-40B4-BE49-F238E27FC236}">
              <a16:creationId xmlns:a16="http://schemas.microsoft.com/office/drawing/2014/main" id="{5DCCBCFE-2B40-80EA-FD6A-A71DD8C0B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238500"/>
          <a:ext cx="9115425" cy="404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15</xdr:col>
      <xdr:colOff>0</xdr:colOff>
      <xdr:row>22</xdr:row>
      <xdr:rowOff>80905</xdr:rowOff>
    </xdr:to>
    <xdr:pic>
      <xdr:nvPicPr>
        <xdr:cNvPr id="17" name="Imagen 5">
          <a:extLst>
            <a:ext uri="{FF2B5EF4-FFF2-40B4-BE49-F238E27FC236}">
              <a16:creationId xmlns:a16="http://schemas.microsoft.com/office/drawing/2014/main" id="{007DED2D-8BDF-8D14-02F1-D5E63CEB7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810000"/>
          <a:ext cx="9144000" cy="461905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97F306-6C67-4184-97C2-B106845E139F}" name="Tabla1" displayName="Tabla1" ref="A1:R20" totalsRowCount="1" headerRowDxfId="73" dataDxfId="72">
  <autoFilter ref="A1:R19" xr:uid="{A897F306-6C67-4184-97C2-B106845E139F}"/>
  <tableColumns count="18">
    <tableColumn id="1" xr3:uid="{D2C5AE26-5190-44D6-AEDA-B209F644C676}" name="NAME" dataDxfId="71" totalsRowDxfId="70"/>
    <tableColumn id="2" xr3:uid="{6000EFD7-4B59-4B19-A091-23A9AFF7B3CB}" name="OPERATING SYSTEM" dataDxfId="69" totalsRowDxfId="68"/>
    <tableColumn id="3" xr3:uid="{B1CF7FF1-F791-4F06-8025-CB1DCC8EE8E1}" name="SIZE" dataDxfId="67" totalsRowDxfId="66"/>
    <tableColumn id="4" xr3:uid="{D286AEE9-4A84-42CD-96D9-2A56F1F87B6D}" name="PRIVATE IP ADDRESS" dataDxfId="65" totalsRowDxfId="64"/>
    <tableColumn id="5" xr3:uid="{E963CC81-D6F2-41FF-BADB-8F0BED461528}" name="PUBLIC IP ADDRESS" dataDxfId="63" totalsRowDxfId="62"/>
    <tableColumn id="6" xr3:uid="{3137B560-A28C-4AC9-9808-6083C9997552}" name="RESOURCE GROUP" dataDxfId="61" totalsRowDxfId="60"/>
    <tableColumn id="7" xr3:uid="{AAFF5725-3820-443E-913F-0CA64476B606}" name="LOCATION" dataDxfId="59" totalsRowDxfId="58"/>
    <tableColumn id="8" xr3:uid="{2BCB141D-BC9C-4EB6-96AA-0F7DECF465C7}" name="STATUS" dataDxfId="57" totalsRowDxfId="56"/>
    <tableColumn id="9" xr3:uid="{C4107933-D57A-42B2-ADDD-7CB2CD654A51}" name="TAGS"/>
    <tableColumn id="10" xr3:uid="{7AEAF46D-951F-4C30-A478-CF0E94D6F3A3}" name="DISKS" dataDxfId="55" totalsRowDxfId="54"/>
    <tableColumn id="16" xr3:uid="{67C81127-8481-4C19-BEC3-933BE4FB1851}" name="Horas Mensual" dataDxfId="53" totalsRowDxfId="52"/>
    <tableColumn id="15" xr3:uid="{6B21F56F-3B9F-4BC8-9172-319B4993DE06}" name="PVP APROX " totalsRowFunction="custom" dataDxfId="51" totalsRowDxfId="50" dataCellStyle="Moneda">
      <totalsRowFormula>SUM(L2:L19)</totalsRowFormula>
    </tableColumn>
    <tableColumn id="11" xr3:uid="{EE6897E7-B8AE-41FB-AB3D-F0A3885D470F}" name="CPU MAX" dataDxfId="49" totalsRowDxfId="48"/>
    <tableColumn id="12" xr3:uid="{5C8CF585-AAB2-482F-BBAC-A0E2747078DF}" name="CPU AVG" dataDxfId="47" totalsRowDxfId="46"/>
    <tableColumn id="13" xr3:uid="{2DEAA91F-2243-40DA-AA12-0C2677DF7E4B}" name="RAM MAX" dataDxfId="45" totalsRowDxfId="44"/>
    <tableColumn id="14" xr3:uid="{A58F030F-7D87-4486-B4BF-EB91AF9E2454}" name="RAM AVG" dataDxfId="43" totalsRowDxfId="42"/>
    <tableColumn id="17" xr3:uid="{FB7ED58F-A21F-4C3B-8125-8F362AA78437}" name="Plantilla Recomendada" dataDxfId="41" totalsRowDxfId="40"/>
    <tableColumn id="18" xr3:uid="{FCB63F36-DCFE-413A-BBAD-E4FE150D4143}" name="PVP Aprox" totalsRowFunction="custom" dataDxfId="39" totalsRowDxfId="38" dataCellStyle="Moneda">
      <totalsRowFormula>SUM(R2:R19)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58F218-F1AE-4921-BACE-6A2ABA642DD5}" name="Tabla3" displayName="Tabla3" ref="A24:B33" totalsRowShown="0">
  <autoFilter ref="A24:B33" xr:uid="{6A58F218-F1AE-4921-BACE-6A2ABA642DD5}"/>
  <tableColumns count="2">
    <tableColumn id="1" xr3:uid="{943B6C44-FD79-4EFA-A3DB-1F10A92EEAC2}" name="Plantillas IR"/>
    <tableColumn id="2" xr3:uid="{6A4AC8FC-3183-4D61-BA3E-61E8555C2662}" name="Cantidad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C03556-8BF7-4ABC-A451-9B7392BAA97D}" name="Tabla6" displayName="Tabla6" ref="A3:H7" totalsRowCount="1" headerRowDxfId="37" dataDxfId="36">
  <autoFilter ref="A3:H6" xr:uid="{CAC03556-8BF7-4ABC-A451-9B7392BAA97D}"/>
  <tableColumns count="8">
    <tableColumn id="1" xr3:uid="{5B001898-CFE9-48F9-86FC-2C9AAA027A55}" name="NAME" dataDxfId="35" totalsRowDxfId="34"/>
    <tableColumn id="2" xr3:uid="{C5907FEC-B62B-4830-823C-81F7BF241363}" name="STORAGE ACCOUNT TYPE" dataDxfId="33" totalsRowDxfId="32"/>
    <tableColumn id="3" xr3:uid="{C8C93CF6-2424-478C-94F3-0EA25D1E3F6E}" name="SIZE (GIB)" dataDxfId="31" totalsRowDxfId="30"/>
    <tableColumn id="4" xr3:uid="{626E255C-1C46-4C1B-99B7-A4C7DAEC6C10}" name="OWNER" dataDxfId="29" totalsRowDxfId="28"/>
    <tableColumn id="5" xr3:uid="{85C82A48-F956-48E5-9B34-0FFDC1587E7F}" name="RESOURCE GROUP" dataDxfId="27" totalsRowDxfId="26"/>
    <tableColumn id="6" xr3:uid="{11A231DE-402A-4A29-8EFE-A13CBBA18A6D}" name="LOCATION" dataDxfId="25" totalsRowDxfId="24"/>
    <tableColumn id="7" xr3:uid="{0FE0C546-970B-4EBB-B84B-7E5232EA8CF6}" name="TIME CREATED" dataDxfId="23" totalsRowDxfId="22"/>
    <tableColumn id="8" xr3:uid="{7F06865E-D14A-4E00-AA98-0464A2C9FBFB}" name="PVP Mensual" totalsRowFunction="custom" dataDxfId="21" totalsRowDxfId="20" dataCellStyle="Moneda">
      <totalsRowFormula>SUM(H4:H6)</totalsRow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7CC9A3-796D-496D-B9E2-DB3E4CA6E8BC}" name="Tabla7" displayName="Tabla7" ref="A3:H13" totalsRowCount="1" headerRowDxfId="19" dataDxfId="18">
  <autoFilter ref="A3:H12" xr:uid="{937CC9A3-796D-496D-B9E2-DB3E4CA6E8BC}"/>
  <tableColumns count="8">
    <tableColumn id="1" xr3:uid="{8005153C-9629-4A82-8D8D-0462A3314835}" name="NAME" dataDxfId="17" totalsRowDxfId="16"/>
    <tableColumn id="2" xr3:uid="{0BC80D54-45D4-4B4A-A4DB-217D9AEB7891}" name="SOURCE DISK" dataDxfId="15" totalsRowDxfId="14"/>
    <tableColumn id="3" xr3:uid="{841D51F7-BBE4-4408-8D5D-E9DD23EF2B18}" name="SNAPSHOT" dataDxfId="13" totalsRowDxfId="12"/>
    <tableColumn id="4" xr3:uid="{D8418662-DFBD-4481-8331-6D66F9626A94}" name="TIME CREATED" dataDxfId="11" totalsRowDxfId="10"/>
    <tableColumn id="5" xr3:uid="{62B5950A-EB06-409F-84B0-4BF04A208058}" name="DISK SIZE (GIB)" dataDxfId="9" totalsRowDxfId="8"/>
    <tableColumn id="6" xr3:uid="{3C92851F-8DAC-4658-ACB2-10892DBD9334}" name="RESOURCE GROUP" dataDxfId="7" totalsRowDxfId="6"/>
    <tableColumn id="7" xr3:uid="{D8EC2640-8EA5-42DA-BB04-C67726F076B8}" name="LOCATION" dataDxfId="5" totalsRowDxfId="4"/>
    <tableColumn id="10" xr3:uid="{6791CEAD-83ED-4A8E-B610-86E3D35D8FB1}" name="PVP Mensual" totalsRowFunction="custom" dataDxfId="3" totalsRowDxfId="2" dataCellStyle="Moneda" totalsRowCellStyle="Moneda">
      <totalsRowFormula>SUM(H4:H12)</totalsRow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8A5C47-6CA9-4EE0-8A75-6B557A037076}" name="Tabla2" displayName="Tabla2" ref="A1:G11" totalsRowCount="1">
  <autoFilter ref="A1:G10" xr:uid="{C78A5C47-6CA9-4EE0-8A75-6B557A037076}"/>
  <tableColumns count="7">
    <tableColumn id="1" xr3:uid="{09393FB0-0645-426C-B1B1-F306801E4B5D}" name="Name"/>
    <tableColumn id="2" xr3:uid="{B5DEF786-737A-498D-8C1E-E471D92F8E7D}" name="Status"/>
    <tableColumn id="3" xr3:uid="{2D763728-500E-48A3-BD27-F30242E93829}" name="Expiration date" dataDxfId="1" totalsRowDxfId="0"/>
    <tableColumn id="6" xr3:uid="{CEE54241-EFD4-4673-9C91-95DC90813DCF}" name="Scope"/>
    <tableColumn id="7" xr3:uid="{97DD089F-D36A-4F2D-962D-91E65C749D08}" name="Product name"/>
    <tableColumn id="8" xr3:uid="{52DD889C-0888-42F5-BB32-9525A18D9C1C}" name="Region"/>
    <tableColumn id="9" xr3:uid="{9BF6C5D5-1171-47A3-B244-00D8E7D6DFBC}" name="Quantity" totalsRowFunction="custom">
      <totalsRowFormula>SUM(G2:G10)</totalsRow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F92708-3EB2-4CAC-BEF0-1EB495390F2F}" name="Tabla35" displayName="Tabla35" ref="A16:B25" totalsRowShown="0">
  <autoFilter ref="A16:B25" xr:uid="{14F92708-3EB2-4CAC-BEF0-1EB495390F2F}"/>
  <tableColumns count="2">
    <tableColumn id="1" xr3:uid="{C92B64B4-6BB6-4780-AF3B-FB3743DC4573}" name="Plantillas IR"/>
    <tableColumn id="2" xr3:uid="{EC455A3F-B06B-4739-B14E-25E168A476EF}" name="Cantida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CC2C-CBDF-440F-AF61-A9FF3D14604B}">
  <dimension ref="A1:R33"/>
  <sheetViews>
    <sheetView showGridLines="0" tabSelected="1" workbookViewId="0">
      <selection activeCell="H25" sqref="H25"/>
    </sheetView>
  </sheetViews>
  <sheetFormatPr baseColWidth="10" defaultColWidth="11.42578125" defaultRowHeight="15" x14ac:dyDescent="0.25"/>
  <cols>
    <col min="1" max="1" width="15.5703125" bestFit="1" customWidth="1"/>
    <col min="2" max="2" width="18.7109375" bestFit="1" customWidth="1"/>
    <col min="3" max="3" width="33.140625" customWidth="1"/>
    <col min="4" max="4" width="19" hidden="1" customWidth="1"/>
    <col min="5" max="5" width="18" hidden="1" customWidth="1"/>
    <col min="6" max="6" width="22.85546875" hidden="1" customWidth="1"/>
    <col min="7" max="7" width="0" hidden="1" customWidth="1"/>
    <col min="8" max="8" width="17.28515625" bestFit="1" customWidth="1"/>
    <col min="9" max="9" width="10.5703125" customWidth="1"/>
    <col min="10" max="10" width="0" hidden="1" customWidth="1"/>
    <col min="13" max="13" width="11.42578125" style="9"/>
    <col min="17" max="17" width="33.85546875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8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2" t="s">
        <v>18</v>
      </c>
      <c r="B2" s="2" t="s">
        <v>19</v>
      </c>
      <c r="C2" s="2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t="s">
        <v>26</v>
      </c>
      <c r="J2" s="3">
        <v>1</v>
      </c>
      <c r="K2" s="3">
        <v>730</v>
      </c>
      <c r="L2" s="18">
        <v>21.22</v>
      </c>
      <c r="M2" s="10">
        <v>94.32</v>
      </c>
      <c r="N2" s="10">
        <v>6.52</v>
      </c>
      <c r="O2" s="10">
        <v>96</v>
      </c>
      <c r="P2" s="10">
        <v>78.03</v>
      </c>
      <c r="Q2" s="3"/>
      <c r="R2" s="24">
        <v>21.22</v>
      </c>
    </row>
    <row r="3" spans="1:18" x14ac:dyDescent="0.25">
      <c r="A3" s="2" t="s">
        <v>27</v>
      </c>
      <c r="B3" s="2" t="s">
        <v>28</v>
      </c>
      <c r="C3" s="2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25</v>
      </c>
      <c r="I3" t="s">
        <v>26</v>
      </c>
      <c r="J3" s="3">
        <v>2</v>
      </c>
      <c r="K3" s="3">
        <v>730</v>
      </c>
      <c r="L3" s="18">
        <v>82.81</v>
      </c>
      <c r="M3" s="10">
        <v>95.19</v>
      </c>
      <c r="N3" s="10">
        <v>3.1</v>
      </c>
      <c r="O3" s="10">
        <v>98.21</v>
      </c>
      <c r="P3" s="10">
        <v>64.47</v>
      </c>
      <c r="Q3" s="3"/>
      <c r="R3" s="24">
        <v>82.81</v>
      </c>
    </row>
    <row r="4" spans="1:18" x14ac:dyDescent="0.25">
      <c r="A4" s="1" t="s">
        <v>34</v>
      </c>
      <c r="B4" s="2" t="s">
        <v>28</v>
      </c>
      <c r="C4" s="22" t="s">
        <v>35</v>
      </c>
      <c r="D4" s="2" t="s">
        <v>36</v>
      </c>
      <c r="E4" s="2" t="s">
        <v>31</v>
      </c>
      <c r="F4" s="2" t="s">
        <v>32</v>
      </c>
      <c r="G4" s="2" t="s">
        <v>33</v>
      </c>
      <c r="H4" s="2" t="s">
        <v>25</v>
      </c>
      <c r="I4" t="s">
        <v>26</v>
      </c>
      <c r="J4" s="3">
        <v>1</v>
      </c>
      <c r="K4" s="3">
        <v>730</v>
      </c>
      <c r="L4" s="18">
        <v>41.39</v>
      </c>
      <c r="M4" s="10">
        <v>99.95</v>
      </c>
      <c r="N4" s="10">
        <v>24.82</v>
      </c>
      <c r="O4" s="10">
        <v>75.69</v>
      </c>
      <c r="P4" s="10">
        <v>51.33</v>
      </c>
      <c r="Q4" s="23" t="s">
        <v>29</v>
      </c>
      <c r="R4" s="24">
        <v>82.81</v>
      </c>
    </row>
    <row r="5" spans="1:18" x14ac:dyDescent="0.25">
      <c r="A5" s="2" t="s">
        <v>37</v>
      </c>
      <c r="B5" s="2" t="s">
        <v>28</v>
      </c>
      <c r="C5" s="22" t="s">
        <v>29</v>
      </c>
      <c r="D5" s="2" t="s">
        <v>38</v>
      </c>
      <c r="E5" s="2" t="s">
        <v>31</v>
      </c>
      <c r="F5" s="2" t="s">
        <v>32</v>
      </c>
      <c r="G5" s="2" t="s">
        <v>33</v>
      </c>
      <c r="H5" s="2" t="s">
        <v>25</v>
      </c>
      <c r="I5" s="6" t="s">
        <v>39</v>
      </c>
      <c r="J5" s="3">
        <v>4</v>
      </c>
      <c r="K5" s="3">
        <v>200</v>
      </c>
      <c r="L5" s="18">
        <v>36.450000000000003</v>
      </c>
      <c r="M5" s="10">
        <v>99.68</v>
      </c>
      <c r="N5" s="10">
        <v>14.08</v>
      </c>
      <c r="O5" s="10">
        <v>94.69</v>
      </c>
      <c r="P5" s="10">
        <v>16.239999999999998</v>
      </c>
      <c r="Q5" s="3"/>
      <c r="R5" s="24">
        <v>36.450000000000003</v>
      </c>
    </row>
    <row r="6" spans="1:18" x14ac:dyDescent="0.25">
      <c r="A6" s="2" t="s">
        <v>40</v>
      </c>
      <c r="B6" s="2" t="s">
        <v>28</v>
      </c>
      <c r="C6" s="22" t="s">
        <v>35</v>
      </c>
      <c r="D6" s="2" t="s">
        <v>41</v>
      </c>
      <c r="E6" s="2" t="s">
        <v>31</v>
      </c>
      <c r="F6" s="2" t="s">
        <v>42</v>
      </c>
      <c r="G6" s="2" t="s">
        <v>33</v>
      </c>
      <c r="H6" s="6" t="s">
        <v>43</v>
      </c>
      <c r="I6" s="6" t="s">
        <v>44</v>
      </c>
      <c r="J6" s="3">
        <v>3</v>
      </c>
      <c r="K6" s="3">
        <v>0</v>
      </c>
      <c r="L6" s="18">
        <v>0</v>
      </c>
      <c r="M6" s="10" t="s">
        <v>45</v>
      </c>
      <c r="N6" s="10" t="s">
        <v>45</v>
      </c>
      <c r="O6" s="10" t="s">
        <v>45</v>
      </c>
      <c r="P6" s="10" t="s">
        <v>45</v>
      </c>
      <c r="Q6" s="3"/>
      <c r="R6" s="24">
        <v>0</v>
      </c>
    </row>
    <row r="7" spans="1:18" x14ac:dyDescent="0.25">
      <c r="A7" s="1" t="s">
        <v>46</v>
      </c>
      <c r="B7" s="2" t="s">
        <v>28</v>
      </c>
      <c r="C7" s="22" t="s">
        <v>47</v>
      </c>
      <c r="D7" s="2" t="s">
        <v>48</v>
      </c>
      <c r="E7" s="2" t="s">
        <v>31</v>
      </c>
      <c r="F7" s="2" t="s">
        <v>49</v>
      </c>
      <c r="G7" s="2" t="s">
        <v>33</v>
      </c>
      <c r="H7" s="2" t="s">
        <v>25</v>
      </c>
      <c r="I7" t="s">
        <v>26</v>
      </c>
      <c r="J7" s="3">
        <v>3</v>
      </c>
      <c r="K7" s="3">
        <v>730</v>
      </c>
      <c r="L7" s="18">
        <v>497.03</v>
      </c>
      <c r="M7" s="10">
        <v>99.53</v>
      </c>
      <c r="N7" s="10">
        <v>20.67</v>
      </c>
      <c r="O7" s="10">
        <v>95.32</v>
      </c>
      <c r="P7" s="10">
        <v>73.3</v>
      </c>
      <c r="Q7" s="23" t="s">
        <v>50</v>
      </c>
      <c r="R7" s="24">
        <v>892.25</v>
      </c>
    </row>
    <row r="8" spans="1:18" x14ac:dyDescent="0.25">
      <c r="A8" s="1" t="s">
        <v>51</v>
      </c>
      <c r="B8" s="2" t="s">
        <v>28</v>
      </c>
      <c r="C8" s="22" t="s">
        <v>52</v>
      </c>
      <c r="D8" s="2" t="s">
        <v>53</v>
      </c>
      <c r="E8" s="2" t="s">
        <v>54</v>
      </c>
      <c r="F8" s="2" t="s">
        <v>49</v>
      </c>
      <c r="G8" s="2" t="s">
        <v>33</v>
      </c>
      <c r="H8" s="2" t="s">
        <v>25</v>
      </c>
      <c r="I8" t="s">
        <v>26</v>
      </c>
      <c r="J8" s="3">
        <v>1</v>
      </c>
      <c r="K8" s="3">
        <v>730</v>
      </c>
      <c r="L8" s="18">
        <v>108.96</v>
      </c>
      <c r="M8" s="10">
        <v>99.82</v>
      </c>
      <c r="N8" s="10">
        <v>15.03</v>
      </c>
      <c r="O8" s="10">
        <v>97.01</v>
      </c>
      <c r="P8" s="10">
        <v>62.14</v>
      </c>
      <c r="Q8" s="23" t="s">
        <v>29</v>
      </c>
      <c r="R8" s="24">
        <v>82.81</v>
      </c>
    </row>
    <row r="9" spans="1:18" x14ac:dyDescent="0.25">
      <c r="A9" s="2" t="s">
        <v>55</v>
      </c>
      <c r="B9" s="2" t="s">
        <v>28</v>
      </c>
      <c r="C9" s="22" t="s">
        <v>29</v>
      </c>
      <c r="D9" s="2" t="s">
        <v>56</v>
      </c>
      <c r="E9" s="2" t="s">
        <v>31</v>
      </c>
      <c r="F9" s="2" t="s">
        <v>32</v>
      </c>
      <c r="G9" s="2" t="s">
        <v>33</v>
      </c>
      <c r="H9" s="6" t="s">
        <v>43</v>
      </c>
      <c r="I9" s="6" t="s">
        <v>57</v>
      </c>
      <c r="J9" s="3">
        <v>4</v>
      </c>
      <c r="K9" s="3">
        <v>0</v>
      </c>
      <c r="L9" s="18">
        <v>0</v>
      </c>
      <c r="M9" s="10" t="s">
        <v>45</v>
      </c>
      <c r="N9" s="10" t="s">
        <v>45</v>
      </c>
      <c r="O9" s="10" t="s">
        <v>45</v>
      </c>
      <c r="P9" s="10" t="s">
        <v>45</v>
      </c>
      <c r="Q9" s="3"/>
      <c r="R9" s="24">
        <v>0</v>
      </c>
    </row>
    <row r="10" spans="1:18" x14ac:dyDescent="0.25">
      <c r="A10" s="2" t="s">
        <v>58</v>
      </c>
      <c r="B10" s="2" t="s">
        <v>28</v>
      </c>
      <c r="C10" s="22" t="s">
        <v>59</v>
      </c>
      <c r="D10" s="2" t="s">
        <v>60</v>
      </c>
      <c r="E10" s="2" t="s">
        <v>31</v>
      </c>
      <c r="F10" s="2" t="s">
        <v>32</v>
      </c>
      <c r="G10" s="2" t="s">
        <v>33</v>
      </c>
      <c r="H10" s="6" t="s">
        <v>43</v>
      </c>
      <c r="I10" s="6" t="s">
        <v>61</v>
      </c>
      <c r="J10" s="3">
        <v>6</v>
      </c>
      <c r="K10" s="3">
        <v>0</v>
      </c>
      <c r="L10" s="18">
        <v>0</v>
      </c>
      <c r="M10" s="10">
        <v>87.93</v>
      </c>
      <c r="N10" s="10">
        <v>0.93</v>
      </c>
      <c r="O10" s="10">
        <v>10.49</v>
      </c>
      <c r="P10" s="10">
        <v>0.6</v>
      </c>
      <c r="Q10" s="3"/>
      <c r="R10" s="24">
        <v>0</v>
      </c>
    </row>
    <row r="11" spans="1:18" x14ac:dyDescent="0.25">
      <c r="A11" s="2" t="s">
        <v>62</v>
      </c>
      <c r="B11" s="2" t="s">
        <v>28</v>
      </c>
      <c r="C11" s="22" t="s">
        <v>52</v>
      </c>
      <c r="D11" s="2" t="s">
        <v>63</v>
      </c>
      <c r="E11" s="2" t="s">
        <v>64</v>
      </c>
      <c r="F11" s="2" t="s">
        <v>65</v>
      </c>
      <c r="G11" s="2" t="s">
        <v>33</v>
      </c>
      <c r="H11" s="2" t="s">
        <v>25</v>
      </c>
      <c r="I11" t="s">
        <v>26</v>
      </c>
      <c r="J11" s="3">
        <v>1</v>
      </c>
      <c r="K11" s="3">
        <v>730</v>
      </c>
      <c r="L11" s="18">
        <v>108.96</v>
      </c>
      <c r="M11" s="10">
        <v>97.17</v>
      </c>
      <c r="N11" s="10">
        <v>32.43</v>
      </c>
      <c r="O11" s="10">
        <v>99</v>
      </c>
      <c r="P11" s="10">
        <v>80.56</v>
      </c>
      <c r="Q11" s="23" t="s">
        <v>29</v>
      </c>
      <c r="R11" s="24">
        <v>82.81</v>
      </c>
    </row>
    <row r="12" spans="1:18" x14ac:dyDescent="0.25">
      <c r="A12" s="2" t="s">
        <v>66</v>
      </c>
      <c r="B12" s="2" t="s">
        <v>28</v>
      </c>
      <c r="C12" s="22" t="s">
        <v>20</v>
      </c>
      <c r="D12" s="2" t="s">
        <v>67</v>
      </c>
      <c r="E12" s="2" t="s">
        <v>31</v>
      </c>
      <c r="F12" s="2" t="s">
        <v>32</v>
      </c>
      <c r="G12" s="2" t="s">
        <v>33</v>
      </c>
      <c r="H12" s="2" t="s">
        <v>25</v>
      </c>
      <c r="I12" s="6" t="s">
        <v>68</v>
      </c>
      <c r="J12" s="3">
        <v>1</v>
      </c>
      <c r="K12" s="3">
        <v>240</v>
      </c>
      <c r="L12" s="18">
        <v>11.95</v>
      </c>
      <c r="M12" s="10">
        <v>99.79</v>
      </c>
      <c r="N12" s="10">
        <v>5.04</v>
      </c>
      <c r="O12" s="10">
        <v>74.63</v>
      </c>
      <c r="P12" s="10">
        <v>14.43</v>
      </c>
      <c r="Q12" s="3"/>
      <c r="R12" s="24">
        <v>11.95</v>
      </c>
    </row>
    <row r="13" spans="1:18" x14ac:dyDescent="0.25">
      <c r="A13" s="1" t="s">
        <v>69</v>
      </c>
      <c r="B13" s="2" t="s">
        <v>28</v>
      </c>
      <c r="C13" s="22" t="s">
        <v>35</v>
      </c>
      <c r="D13" s="2" t="s">
        <v>70</v>
      </c>
      <c r="E13" s="2" t="s">
        <v>71</v>
      </c>
      <c r="F13" s="2" t="s">
        <v>23</v>
      </c>
      <c r="G13" s="2" t="s">
        <v>33</v>
      </c>
      <c r="H13" s="2" t="s">
        <v>25</v>
      </c>
      <c r="I13" t="s">
        <v>26</v>
      </c>
      <c r="J13" s="3">
        <v>1</v>
      </c>
      <c r="K13" s="3">
        <v>730</v>
      </c>
      <c r="L13" s="18">
        <v>41.39</v>
      </c>
      <c r="M13" s="10">
        <v>99.87</v>
      </c>
      <c r="N13" s="10">
        <v>20.53</v>
      </c>
      <c r="O13" s="10">
        <v>85.64</v>
      </c>
      <c r="P13" s="10">
        <v>59.94</v>
      </c>
      <c r="Q13" s="23" t="s">
        <v>29</v>
      </c>
      <c r="R13" s="24">
        <v>82.81</v>
      </c>
    </row>
    <row r="14" spans="1:18" x14ac:dyDescent="0.25">
      <c r="A14" s="1" t="s">
        <v>72</v>
      </c>
      <c r="B14" s="2" t="s">
        <v>28</v>
      </c>
      <c r="C14" s="22" t="s">
        <v>59</v>
      </c>
      <c r="D14" s="2" t="s">
        <v>73</v>
      </c>
      <c r="E14" s="2" t="s">
        <v>31</v>
      </c>
      <c r="F14" s="2" t="s">
        <v>74</v>
      </c>
      <c r="G14" s="2" t="s">
        <v>33</v>
      </c>
      <c r="H14" s="2" t="s">
        <v>25</v>
      </c>
      <c r="I14" t="s">
        <v>26</v>
      </c>
      <c r="J14" s="3">
        <v>4</v>
      </c>
      <c r="K14" s="3">
        <v>730</v>
      </c>
      <c r="L14" s="18">
        <v>413.87</v>
      </c>
      <c r="M14" s="10">
        <v>99.98</v>
      </c>
      <c r="N14" s="10">
        <v>4.51</v>
      </c>
      <c r="O14" s="10">
        <v>94</v>
      </c>
      <c r="P14" s="10">
        <v>61.74</v>
      </c>
      <c r="Q14" s="3"/>
      <c r="R14" s="24">
        <v>413.87</v>
      </c>
    </row>
    <row r="15" spans="1:18" x14ac:dyDescent="0.25">
      <c r="A15" s="1" t="s">
        <v>75</v>
      </c>
      <c r="B15" s="2" t="s">
        <v>28</v>
      </c>
      <c r="C15" s="22" t="s">
        <v>29</v>
      </c>
      <c r="D15" s="2" t="s">
        <v>76</v>
      </c>
      <c r="E15" s="2" t="s">
        <v>31</v>
      </c>
      <c r="F15" s="2" t="s">
        <v>32</v>
      </c>
      <c r="G15" s="2" t="s">
        <v>33</v>
      </c>
      <c r="H15" s="2" t="s">
        <v>25</v>
      </c>
      <c r="I15" t="s">
        <v>26</v>
      </c>
      <c r="J15" s="3">
        <v>1</v>
      </c>
      <c r="K15" s="3">
        <v>730</v>
      </c>
      <c r="L15" s="18">
        <v>82.81</v>
      </c>
      <c r="M15" s="10">
        <v>99.3</v>
      </c>
      <c r="N15" s="10">
        <v>21.25</v>
      </c>
      <c r="O15" s="10">
        <v>71.12</v>
      </c>
      <c r="P15" s="10">
        <v>50.22</v>
      </c>
      <c r="Q15" s="23" t="s">
        <v>77</v>
      </c>
      <c r="R15" s="24">
        <v>165.58</v>
      </c>
    </row>
    <row r="16" spans="1:18" x14ac:dyDescent="0.25">
      <c r="A16" s="2" t="s">
        <v>78</v>
      </c>
      <c r="B16" s="2" t="s">
        <v>28</v>
      </c>
      <c r="C16" s="22" t="s">
        <v>29</v>
      </c>
      <c r="D16" s="2" t="s">
        <v>79</v>
      </c>
      <c r="E16" s="2" t="s">
        <v>31</v>
      </c>
      <c r="F16" s="2" t="s">
        <v>32</v>
      </c>
      <c r="G16" s="2" t="s">
        <v>33</v>
      </c>
      <c r="H16" s="2" t="s">
        <v>25</v>
      </c>
      <c r="I16" t="s">
        <v>26</v>
      </c>
      <c r="J16" s="3">
        <v>3</v>
      </c>
      <c r="K16" s="3">
        <v>730</v>
      </c>
      <c r="L16" s="18">
        <v>82.81</v>
      </c>
      <c r="M16" s="10">
        <v>74.349999999999994</v>
      </c>
      <c r="N16" s="10">
        <v>2.82</v>
      </c>
      <c r="O16" s="10">
        <v>66.069999999999993</v>
      </c>
      <c r="P16" s="10">
        <v>34.06</v>
      </c>
      <c r="Q16" s="3"/>
      <c r="R16" s="24">
        <v>82.81</v>
      </c>
    </row>
    <row r="17" spans="1:18" x14ac:dyDescent="0.25">
      <c r="A17" s="2" t="s">
        <v>80</v>
      </c>
      <c r="B17" s="2" t="s">
        <v>28</v>
      </c>
      <c r="C17" s="22" t="s">
        <v>81</v>
      </c>
      <c r="D17" s="2" t="s">
        <v>82</v>
      </c>
      <c r="E17" s="2" t="s">
        <v>31</v>
      </c>
      <c r="F17" s="2" t="s">
        <v>83</v>
      </c>
      <c r="G17" s="2" t="s">
        <v>33</v>
      </c>
      <c r="H17" s="2" t="s">
        <v>25</v>
      </c>
      <c r="I17" t="s">
        <v>26</v>
      </c>
      <c r="J17" s="3">
        <v>3</v>
      </c>
      <c r="K17" s="3">
        <v>730</v>
      </c>
      <c r="L17" s="18">
        <v>242.53</v>
      </c>
      <c r="M17" s="10">
        <v>99.01</v>
      </c>
      <c r="N17" s="10">
        <v>7.05</v>
      </c>
      <c r="O17" s="10">
        <v>50</v>
      </c>
      <c r="P17" s="10">
        <v>22.16</v>
      </c>
      <c r="Q17" s="3"/>
      <c r="R17" s="24">
        <v>242.53</v>
      </c>
    </row>
    <row r="18" spans="1:18" x14ac:dyDescent="0.25">
      <c r="A18" s="2" t="s">
        <v>84</v>
      </c>
      <c r="B18" s="2" t="s">
        <v>28</v>
      </c>
      <c r="C18" s="22" t="s">
        <v>29</v>
      </c>
      <c r="D18" s="2" t="s">
        <v>85</v>
      </c>
      <c r="E18" s="2" t="s">
        <v>31</v>
      </c>
      <c r="F18" s="2" t="s">
        <v>32</v>
      </c>
      <c r="G18" s="2" t="s">
        <v>33</v>
      </c>
      <c r="H18" s="2" t="s">
        <v>25</v>
      </c>
      <c r="I18" t="s">
        <v>26</v>
      </c>
      <c r="J18" s="3">
        <v>1</v>
      </c>
      <c r="K18" s="3">
        <v>730</v>
      </c>
      <c r="L18" s="18">
        <v>82.81</v>
      </c>
      <c r="M18" s="10">
        <v>72.98</v>
      </c>
      <c r="N18" s="10">
        <v>6.24</v>
      </c>
      <c r="O18" s="10">
        <v>71.180000000000007</v>
      </c>
      <c r="P18" s="10">
        <v>53.85</v>
      </c>
      <c r="Q18" s="3"/>
      <c r="R18" s="24">
        <v>82.81</v>
      </c>
    </row>
    <row r="19" spans="1:18" x14ac:dyDescent="0.25">
      <c r="A19" s="2" t="s">
        <v>86</v>
      </c>
      <c r="B19" s="2" t="s">
        <v>28</v>
      </c>
      <c r="C19" s="22" t="s">
        <v>87</v>
      </c>
      <c r="D19" s="2" t="s">
        <v>88</v>
      </c>
      <c r="E19" s="2" t="s">
        <v>31</v>
      </c>
      <c r="F19" s="2" t="s">
        <v>32</v>
      </c>
      <c r="G19" s="2" t="s">
        <v>33</v>
      </c>
      <c r="H19" s="2" t="s">
        <v>25</v>
      </c>
      <c r="I19" t="s">
        <v>26</v>
      </c>
      <c r="J19" s="3">
        <v>6</v>
      </c>
      <c r="K19" s="3">
        <v>730</v>
      </c>
      <c r="L19" s="18">
        <v>263.13</v>
      </c>
      <c r="M19" s="10">
        <v>96.83</v>
      </c>
      <c r="N19" s="10">
        <v>7.93</v>
      </c>
      <c r="O19" s="10">
        <v>89.51</v>
      </c>
      <c r="P19" s="10">
        <v>86.48</v>
      </c>
      <c r="Q19" s="3"/>
      <c r="R19" s="24">
        <v>263.13</v>
      </c>
    </row>
    <row r="20" spans="1:18" x14ac:dyDescent="0.25">
      <c r="A20" s="2"/>
      <c r="B20" s="2"/>
      <c r="C20" s="2"/>
      <c r="D20" s="2"/>
      <c r="E20" s="2"/>
      <c r="F20" s="2"/>
      <c r="G20" s="2"/>
      <c r="H20" s="2"/>
      <c r="J20" s="3"/>
      <c r="K20" s="3"/>
      <c r="L20" s="21">
        <f>SUM(L2:L19)</f>
        <v>2118.12</v>
      </c>
      <c r="M20" s="19"/>
      <c r="N20" s="20"/>
      <c r="O20" s="20"/>
      <c r="P20" s="20"/>
      <c r="Q20" s="20"/>
      <c r="R20" s="25">
        <f>SUM(R2:R19)</f>
        <v>2626.65</v>
      </c>
    </row>
    <row r="22" spans="1:18" x14ac:dyDescent="0.25">
      <c r="R22" s="17">
        <f>+Tabla1[[#Totals],[PVP Aprox]]-Tabla1[[#Totals],[PVP APROX ]]</f>
        <v>508.5300000000002</v>
      </c>
    </row>
    <row r="24" spans="1:18" x14ac:dyDescent="0.25">
      <c r="A24" t="s">
        <v>89</v>
      </c>
      <c r="B24" t="s">
        <v>90</v>
      </c>
    </row>
    <row r="25" spans="1:18" x14ac:dyDescent="0.25">
      <c r="A25" t="s">
        <v>91</v>
      </c>
      <c r="B25">
        <v>1</v>
      </c>
    </row>
    <row r="26" spans="1:18" x14ac:dyDescent="0.25">
      <c r="A26" t="s">
        <v>92</v>
      </c>
      <c r="B26">
        <v>2</v>
      </c>
    </row>
    <row r="27" spans="1:18" x14ac:dyDescent="0.25">
      <c r="A27" s="4" t="s">
        <v>93</v>
      </c>
      <c r="B27" s="4">
        <v>1</v>
      </c>
    </row>
    <row r="28" spans="1:18" x14ac:dyDescent="0.25">
      <c r="A28" t="s">
        <v>94</v>
      </c>
      <c r="B28">
        <v>4</v>
      </c>
    </row>
    <row r="29" spans="1:18" x14ac:dyDescent="0.25">
      <c r="A29" t="s">
        <v>95</v>
      </c>
      <c r="B29">
        <v>2</v>
      </c>
    </row>
    <row r="30" spans="1:18" x14ac:dyDescent="0.25">
      <c r="A30" t="s">
        <v>96</v>
      </c>
      <c r="B30">
        <v>1</v>
      </c>
    </row>
    <row r="31" spans="1:18" x14ac:dyDescent="0.25">
      <c r="A31" t="s">
        <v>97</v>
      </c>
      <c r="B31">
        <v>1</v>
      </c>
    </row>
    <row r="32" spans="1:18" x14ac:dyDescent="0.25">
      <c r="A32" t="s">
        <v>98</v>
      </c>
      <c r="B32">
        <v>1</v>
      </c>
    </row>
    <row r="33" spans="2:2" x14ac:dyDescent="0.25">
      <c r="B33">
        <f>SUM(B25:B32)</f>
        <v>13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DD85-1FB5-4A5D-8608-C7666B2FC746}">
  <dimension ref="A3:Q24"/>
  <sheetViews>
    <sheetView showGridLines="0" workbookViewId="0">
      <selection activeCell="Q14" sqref="Q14"/>
    </sheetView>
  </sheetViews>
  <sheetFormatPr baseColWidth="10" defaultColWidth="9.140625" defaultRowHeight="15" x14ac:dyDescent="0.25"/>
  <sheetData>
    <row r="3" spans="1:17" x14ac:dyDescent="0.25">
      <c r="A3" s="7" t="s">
        <v>99</v>
      </c>
    </row>
    <row r="8" spans="1:17" x14ac:dyDescent="0.25">
      <c r="N8" s="15">
        <v>24.38</v>
      </c>
    </row>
    <row r="14" spans="1:17" x14ac:dyDescent="0.25">
      <c r="Q14" s="17">
        <f>+N8+N24</f>
        <v>139.82</v>
      </c>
    </row>
    <row r="16" spans="1:17" x14ac:dyDescent="0.25">
      <c r="A16" t="s">
        <v>100</v>
      </c>
      <c r="E16" t="s">
        <v>101</v>
      </c>
    </row>
    <row r="18" spans="14:14" x14ac:dyDescent="0.25">
      <c r="N18" s="14">
        <v>19.71</v>
      </c>
    </row>
    <row r="19" spans="14:14" x14ac:dyDescent="0.25">
      <c r="N19" s="14">
        <v>38.01</v>
      </c>
    </row>
    <row r="20" spans="14:14" x14ac:dyDescent="0.25">
      <c r="N20" s="14"/>
    </row>
    <row r="21" spans="14:14" x14ac:dyDescent="0.25">
      <c r="N21" s="14">
        <v>19.71</v>
      </c>
    </row>
    <row r="22" spans="14:14" x14ac:dyDescent="0.25">
      <c r="N22" s="14">
        <v>38.01</v>
      </c>
    </row>
    <row r="23" spans="14:14" x14ac:dyDescent="0.25">
      <c r="N23" s="14"/>
    </row>
    <row r="24" spans="14:14" x14ac:dyDescent="0.25">
      <c r="N24" s="15">
        <f>SUM(N18:N22)</f>
        <v>115.44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8EDD-9253-4969-9719-B2E42ACCFEA8}">
  <dimension ref="A3:H7"/>
  <sheetViews>
    <sheetView showGridLines="0" workbookViewId="0">
      <selection activeCell="B5" sqref="B5"/>
    </sheetView>
  </sheetViews>
  <sheetFormatPr baseColWidth="10" defaultColWidth="9.140625" defaultRowHeight="15" x14ac:dyDescent="0.25"/>
  <cols>
    <col min="1" max="1" width="45.7109375" bestFit="1" customWidth="1"/>
    <col min="2" max="2" width="22" customWidth="1"/>
    <col min="5" max="5" width="17" customWidth="1"/>
    <col min="6" max="6" width="11.42578125" bestFit="1" customWidth="1"/>
    <col min="7" max="7" width="24.5703125" customWidth="1"/>
  </cols>
  <sheetData>
    <row r="3" spans="1:8" x14ac:dyDescent="0.25">
      <c r="A3" s="11" t="s">
        <v>0</v>
      </c>
      <c r="B3" s="11" t="s">
        <v>102</v>
      </c>
      <c r="C3" s="11" t="s">
        <v>103</v>
      </c>
      <c r="D3" s="11" t="s">
        <v>104</v>
      </c>
      <c r="E3" s="11" t="s">
        <v>5</v>
      </c>
      <c r="F3" s="11" t="s">
        <v>6</v>
      </c>
      <c r="G3" s="11" t="s">
        <v>105</v>
      </c>
      <c r="H3" s="2" t="s">
        <v>106</v>
      </c>
    </row>
    <row r="4" spans="1:8" x14ac:dyDescent="0.25">
      <c r="A4" s="11" t="s">
        <v>107</v>
      </c>
      <c r="B4" s="11" t="s">
        <v>108</v>
      </c>
      <c r="C4" s="11">
        <v>30</v>
      </c>
      <c r="D4" s="11" t="s">
        <v>31</v>
      </c>
      <c r="E4" s="11" t="s">
        <v>23</v>
      </c>
      <c r="F4" s="11" t="s">
        <v>24</v>
      </c>
      <c r="G4" s="11" t="s">
        <v>109</v>
      </c>
      <c r="H4" s="12">
        <v>3.36</v>
      </c>
    </row>
    <row r="5" spans="1:8" x14ac:dyDescent="0.25">
      <c r="A5" s="11" t="s">
        <v>110</v>
      </c>
      <c r="B5" s="11" t="s">
        <v>108</v>
      </c>
      <c r="C5" s="11">
        <v>64</v>
      </c>
      <c r="D5" s="11" t="s">
        <v>31</v>
      </c>
      <c r="E5" s="11" t="s">
        <v>23</v>
      </c>
      <c r="F5" s="11" t="s">
        <v>24</v>
      </c>
      <c r="G5" s="11" t="s">
        <v>111</v>
      </c>
      <c r="H5" s="12">
        <v>6.72</v>
      </c>
    </row>
    <row r="6" spans="1:8" x14ac:dyDescent="0.25">
      <c r="A6" s="11" t="s">
        <v>112</v>
      </c>
      <c r="B6" s="11" t="s">
        <v>108</v>
      </c>
      <c r="C6" s="11">
        <v>127</v>
      </c>
      <c r="D6" s="11" t="s">
        <v>31</v>
      </c>
      <c r="E6" s="11" t="s">
        <v>32</v>
      </c>
      <c r="F6" s="11" t="s">
        <v>33</v>
      </c>
      <c r="G6" s="11" t="s">
        <v>113</v>
      </c>
      <c r="H6" s="12">
        <v>13.44</v>
      </c>
    </row>
    <row r="7" spans="1:8" x14ac:dyDescent="0.25">
      <c r="A7" s="2"/>
      <c r="B7" s="2"/>
      <c r="C7" s="2"/>
      <c r="D7" s="2"/>
      <c r="E7" s="2"/>
      <c r="F7" s="2"/>
      <c r="G7" s="2"/>
      <c r="H7" s="13">
        <f>SUM(H4:H6)</f>
        <v>23.52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D416-0332-4E74-92AC-903D6315F5D9}">
  <dimension ref="A3:H13"/>
  <sheetViews>
    <sheetView showGridLines="0" workbookViewId="0">
      <selection activeCell="B29" sqref="B29"/>
    </sheetView>
  </sheetViews>
  <sheetFormatPr baseColWidth="10" defaultColWidth="28.140625" defaultRowHeight="10.5" x14ac:dyDescent="0.15"/>
  <cols>
    <col min="1" max="1" width="28.140625" style="2"/>
    <col min="2" max="2" width="50.5703125" style="2" customWidth="1"/>
    <col min="3" max="3" width="10.85546875" style="2" customWidth="1"/>
    <col min="4" max="4" width="21.140625" style="2" customWidth="1"/>
    <col min="5" max="5" width="20.28515625" style="3" customWidth="1"/>
    <col min="6" max="6" width="18.28515625" style="2" customWidth="1"/>
    <col min="7" max="7" width="11" style="2" customWidth="1"/>
    <col min="8" max="8" width="14" style="2" customWidth="1"/>
    <col min="9" max="16384" width="28.140625" style="2"/>
  </cols>
  <sheetData>
    <row r="3" spans="1:8" x14ac:dyDescent="0.15">
      <c r="A3" s="2" t="s">
        <v>0</v>
      </c>
      <c r="B3" s="2" t="s">
        <v>114</v>
      </c>
      <c r="C3" s="2" t="s">
        <v>115</v>
      </c>
      <c r="D3" s="2" t="s">
        <v>105</v>
      </c>
      <c r="E3" s="3" t="s">
        <v>116</v>
      </c>
      <c r="F3" s="2" t="s">
        <v>5</v>
      </c>
      <c r="G3" s="2" t="s">
        <v>6</v>
      </c>
      <c r="H3" s="2" t="s">
        <v>106</v>
      </c>
    </row>
    <row r="4" spans="1:8" x14ac:dyDescent="0.15">
      <c r="A4" s="2" t="s">
        <v>117</v>
      </c>
      <c r="B4" s="2" t="s">
        <v>118</v>
      </c>
      <c r="C4" s="2" t="s">
        <v>119</v>
      </c>
      <c r="D4" s="2" t="s">
        <v>120</v>
      </c>
      <c r="E4" s="3">
        <v>64</v>
      </c>
      <c r="F4" s="2" t="s">
        <v>23</v>
      </c>
      <c r="G4" s="2" t="s">
        <v>24</v>
      </c>
      <c r="H4" s="12">
        <v>2.29</v>
      </c>
    </row>
    <row r="5" spans="1:8" x14ac:dyDescent="0.15">
      <c r="A5" s="2" t="s">
        <v>121</v>
      </c>
      <c r="B5" s="2" t="s">
        <v>122</v>
      </c>
      <c r="C5" s="2" t="s">
        <v>119</v>
      </c>
      <c r="D5" s="2" t="s">
        <v>123</v>
      </c>
      <c r="E5" s="3">
        <v>512</v>
      </c>
      <c r="F5" s="2" t="s">
        <v>32</v>
      </c>
      <c r="G5" s="2" t="s">
        <v>33</v>
      </c>
      <c r="H5" s="12">
        <v>22</v>
      </c>
    </row>
    <row r="6" spans="1:8" x14ac:dyDescent="0.15">
      <c r="A6" s="2" t="s">
        <v>124</v>
      </c>
      <c r="B6" s="2" t="s">
        <v>125</v>
      </c>
      <c r="C6" s="2" t="s">
        <v>119</v>
      </c>
      <c r="D6" s="2" t="s">
        <v>126</v>
      </c>
      <c r="E6" s="3">
        <v>512</v>
      </c>
      <c r="F6" s="2" t="s">
        <v>32</v>
      </c>
      <c r="G6" s="2" t="s">
        <v>33</v>
      </c>
      <c r="H6" s="12">
        <v>33.01</v>
      </c>
    </row>
    <row r="7" spans="1:8" x14ac:dyDescent="0.15">
      <c r="A7" s="2" t="s">
        <v>127</v>
      </c>
      <c r="B7" s="2" t="s">
        <v>128</v>
      </c>
      <c r="C7" s="2" t="s">
        <v>119</v>
      </c>
      <c r="D7" s="2" t="s">
        <v>129</v>
      </c>
      <c r="E7" s="3">
        <v>256</v>
      </c>
      <c r="F7" s="2" t="s">
        <v>32</v>
      </c>
      <c r="G7" s="2" t="s">
        <v>33</v>
      </c>
      <c r="H7" s="12">
        <v>0.03</v>
      </c>
    </row>
    <row r="8" spans="1:8" x14ac:dyDescent="0.15">
      <c r="A8" s="2" t="s">
        <v>130</v>
      </c>
      <c r="B8" s="2" t="s">
        <v>131</v>
      </c>
      <c r="C8" s="2" t="s">
        <v>119</v>
      </c>
      <c r="D8" s="2" t="s">
        <v>132</v>
      </c>
      <c r="E8" s="3">
        <v>256</v>
      </c>
      <c r="F8" s="2" t="s">
        <v>32</v>
      </c>
      <c r="G8" s="2" t="s">
        <v>33</v>
      </c>
      <c r="H8" s="12">
        <v>3.9</v>
      </c>
    </row>
    <row r="9" spans="1:8" x14ac:dyDescent="0.15">
      <c r="A9" s="2" t="s">
        <v>133</v>
      </c>
      <c r="B9" s="2" t="s">
        <v>134</v>
      </c>
      <c r="C9" s="2" t="s">
        <v>119</v>
      </c>
      <c r="D9" s="2" t="s">
        <v>135</v>
      </c>
      <c r="E9" s="3">
        <v>127</v>
      </c>
      <c r="F9" s="2" t="s">
        <v>32</v>
      </c>
      <c r="G9" s="2" t="s">
        <v>33</v>
      </c>
      <c r="H9" s="12">
        <v>2.66</v>
      </c>
    </row>
    <row r="10" spans="1:8" x14ac:dyDescent="0.15">
      <c r="A10" s="2" t="s">
        <v>136</v>
      </c>
      <c r="B10" s="2" t="s">
        <v>137</v>
      </c>
      <c r="C10" s="2" t="s">
        <v>119</v>
      </c>
      <c r="D10" s="2" t="s">
        <v>138</v>
      </c>
      <c r="E10" s="3">
        <v>127</v>
      </c>
      <c r="F10" s="2" t="s">
        <v>49</v>
      </c>
      <c r="G10" s="2" t="s">
        <v>33</v>
      </c>
      <c r="H10" s="12">
        <v>7.49</v>
      </c>
    </row>
    <row r="11" spans="1:8" x14ac:dyDescent="0.15">
      <c r="A11" s="2" t="s">
        <v>139</v>
      </c>
      <c r="B11" s="2" t="s">
        <v>140</v>
      </c>
      <c r="C11" s="2" t="s">
        <v>119</v>
      </c>
      <c r="D11" s="2" t="s">
        <v>141</v>
      </c>
      <c r="E11" s="3">
        <v>128</v>
      </c>
      <c r="F11" s="2" t="s">
        <v>23</v>
      </c>
      <c r="G11" s="2" t="s">
        <v>33</v>
      </c>
      <c r="H11" s="12">
        <v>4.21</v>
      </c>
    </row>
    <row r="12" spans="1:8" x14ac:dyDescent="0.15">
      <c r="A12" s="2" t="s">
        <v>142</v>
      </c>
      <c r="B12" s="2" t="s">
        <v>143</v>
      </c>
      <c r="C12" s="2" t="s">
        <v>119</v>
      </c>
      <c r="D12" s="2" t="s">
        <v>144</v>
      </c>
      <c r="E12" s="3">
        <v>127</v>
      </c>
      <c r="F12" s="2" t="s">
        <v>23</v>
      </c>
      <c r="G12" s="2" t="s">
        <v>33</v>
      </c>
      <c r="H12" s="12">
        <v>4.5</v>
      </c>
    </row>
    <row r="13" spans="1:8" x14ac:dyDescent="0.15">
      <c r="H13" s="13">
        <f>SUM(H4:H12)</f>
        <v>80.089999999999989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CAA7-87FC-46E1-8BBD-F1563BEB702E}">
  <dimension ref="A1:G25"/>
  <sheetViews>
    <sheetView showGridLines="0" workbookViewId="0">
      <selection activeCell="B25" sqref="B25"/>
    </sheetView>
  </sheetViews>
  <sheetFormatPr baseColWidth="10" defaultColWidth="11.42578125" defaultRowHeight="15" x14ac:dyDescent="0.25"/>
  <cols>
    <col min="1" max="1" width="31.140625" bestFit="1" customWidth="1"/>
    <col min="3" max="3" width="23.42578125" customWidth="1"/>
    <col min="5" max="5" width="17.28515625" bestFit="1" customWidth="1"/>
  </cols>
  <sheetData>
    <row r="1" spans="1:7" x14ac:dyDescent="0.25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</row>
    <row r="2" spans="1:7" x14ac:dyDescent="0.25">
      <c r="A2" t="s">
        <v>152</v>
      </c>
      <c r="B2" t="s">
        <v>153</v>
      </c>
      <c r="C2" s="5">
        <v>44775</v>
      </c>
      <c r="D2" t="s">
        <v>154</v>
      </c>
      <c r="E2" t="s">
        <v>95</v>
      </c>
      <c r="F2" t="s">
        <v>155</v>
      </c>
      <c r="G2">
        <v>2</v>
      </c>
    </row>
    <row r="3" spans="1:7" x14ac:dyDescent="0.25">
      <c r="A3" t="s">
        <v>156</v>
      </c>
      <c r="B3" t="s">
        <v>153</v>
      </c>
      <c r="C3" s="5">
        <v>44775</v>
      </c>
      <c r="D3" t="s">
        <v>154</v>
      </c>
      <c r="E3" t="s">
        <v>92</v>
      </c>
      <c r="F3" t="s">
        <v>155</v>
      </c>
      <c r="G3">
        <v>2</v>
      </c>
    </row>
    <row r="4" spans="1:7" x14ac:dyDescent="0.25">
      <c r="A4" t="s">
        <v>157</v>
      </c>
      <c r="B4" t="s">
        <v>153</v>
      </c>
      <c r="C4" s="5">
        <v>44775</v>
      </c>
      <c r="D4" t="s">
        <v>154</v>
      </c>
      <c r="E4" t="s">
        <v>94</v>
      </c>
      <c r="F4" t="s">
        <v>155</v>
      </c>
      <c r="G4">
        <v>4</v>
      </c>
    </row>
    <row r="5" spans="1:7" x14ac:dyDescent="0.25">
      <c r="A5" t="s">
        <v>158</v>
      </c>
      <c r="B5" t="s">
        <v>153</v>
      </c>
      <c r="C5" s="5">
        <v>44775</v>
      </c>
      <c r="D5" t="s">
        <v>154</v>
      </c>
      <c r="E5" t="s">
        <v>96</v>
      </c>
      <c r="F5" t="s">
        <v>155</v>
      </c>
      <c r="G5">
        <v>1</v>
      </c>
    </row>
    <row r="6" spans="1:7" x14ac:dyDescent="0.25">
      <c r="A6" t="s">
        <v>159</v>
      </c>
      <c r="B6" t="s">
        <v>153</v>
      </c>
      <c r="C6" s="5">
        <v>44775</v>
      </c>
      <c r="D6" t="s">
        <v>154</v>
      </c>
      <c r="E6" t="s">
        <v>97</v>
      </c>
      <c r="F6" t="s">
        <v>155</v>
      </c>
      <c r="G6">
        <v>1</v>
      </c>
    </row>
    <row r="7" spans="1:7" x14ac:dyDescent="0.25">
      <c r="A7" t="s">
        <v>160</v>
      </c>
      <c r="B7" t="s">
        <v>153</v>
      </c>
      <c r="C7" s="5">
        <v>44775</v>
      </c>
      <c r="D7" t="s">
        <v>154</v>
      </c>
      <c r="E7" t="s">
        <v>98</v>
      </c>
      <c r="F7" t="s">
        <v>155</v>
      </c>
      <c r="G7">
        <v>1</v>
      </c>
    </row>
    <row r="8" spans="1:7" x14ac:dyDescent="0.25">
      <c r="A8" t="s">
        <v>161</v>
      </c>
      <c r="B8" t="s">
        <v>153</v>
      </c>
      <c r="C8" s="5">
        <v>44775</v>
      </c>
      <c r="D8" t="s">
        <v>154</v>
      </c>
      <c r="E8" t="s">
        <v>93</v>
      </c>
      <c r="F8" t="s">
        <v>155</v>
      </c>
      <c r="G8">
        <v>2</v>
      </c>
    </row>
    <row r="9" spans="1:7" x14ac:dyDescent="0.25">
      <c r="A9" t="s">
        <v>162</v>
      </c>
      <c r="B9" t="s">
        <v>153</v>
      </c>
      <c r="C9" s="5">
        <v>44775</v>
      </c>
      <c r="D9" t="s">
        <v>154</v>
      </c>
      <c r="E9" t="s">
        <v>91</v>
      </c>
      <c r="F9" t="s">
        <v>155</v>
      </c>
      <c r="G9">
        <v>1</v>
      </c>
    </row>
    <row r="10" spans="1:7" x14ac:dyDescent="0.25">
      <c r="A10" t="s">
        <v>163</v>
      </c>
      <c r="B10" t="s">
        <v>153</v>
      </c>
      <c r="C10" s="5">
        <v>44775</v>
      </c>
      <c r="D10" t="s">
        <v>154</v>
      </c>
      <c r="E10" t="s">
        <v>93</v>
      </c>
      <c r="F10" t="s">
        <v>164</v>
      </c>
      <c r="G10">
        <v>1</v>
      </c>
    </row>
    <row r="11" spans="1:7" x14ac:dyDescent="0.25">
      <c r="C11" s="5"/>
      <c r="G11">
        <f>SUM(G2:G10)</f>
        <v>15</v>
      </c>
    </row>
    <row r="16" spans="1:7" x14ac:dyDescent="0.25">
      <c r="A16" t="s">
        <v>89</v>
      </c>
      <c r="B16" t="s">
        <v>90</v>
      </c>
    </row>
    <row r="17" spans="1:2" x14ac:dyDescent="0.25">
      <c r="A17" t="s">
        <v>91</v>
      </c>
      <c r="B17">
        <v>1</v>
      </c>
    </row>
    <row r="18" spans="1:2" x14ac:dyDescent="0.25">
      <c r="A18" t="s">
        <v>92</v>
      </c>
      <c r="B18">
        <v>2</v>
      </c>
    </row>
    <row r="19" spans="1:2" x14ac:dyDescent="0.25">
      <c r="A19" s="4" t="s">
        <v>93</v>
      </c>
      <c r="B19" s="4">
        <v>1</v>
      </c>
    </row>
    <row r="20" spans="1:2" x14ac:dyDescent="0.25">
      <c r="A20" t="s">
        <v>94</v>
      </c>
      <c r="B20">
        <v>4</v>
      </c>
    </row>
    <row r="21" spans="1:2" x14ac:dyDescent="0.25">
      <c r="A21" t="s">
        <v>95</v>
      </c>
      <c r="B21">
        <v>2</v>
      </c>
    </row>
    <row r="22" spans="1:2" x14ac:dyDescent="0.25">
      <c r="A22" t="s">
        <v>96</v>
      </c>
      <c r="B22">
        <v>1</v>
      </c>
    </row>
    <row r="23" spans="1:2" x14ac:dyDescent="0.25">
      <c r="A23" t="s">
        <v>97</v>
      </c>
      <c r="B23">
        <v>1</v>
      </c>
    </row>
    <row r="24" spans="1:2" x14ac:dyDescent="0.25">
      <c r="A24" t="s">
        <v>98</v>
      </c>
      <c r="B24">
        <v>1</v>
      </c>
    </row>
    <row r="25" spans="1:2" x14ac:dyDescent="0.25">
      <c r="B25">
        <f>SUM(B17:B24)</f>
        <v>13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230E-5A84-4543-84FD-CB6AB3DA2778}">
  <dimension ref="B3:G13"/>
  <sheetViews>
    <sheetView showGridLines="0" workbookViewId="0">
      <selection activeCell="C24" sqref="C24"/>
    </sheetView>
  </sheetViews>
  <sheetFormatPr baseColWidth="10" defaultColWidth="9.140625" defaultRowHeight="15" x14ac:dyDescent="0.25"/>
  <cols>
    <col min="2" max="2" width="22.28515625" customWidth="1"/>
    <col min="3" max="3" width="19.85546875" customWidth="1"/>
    <col min="4" max="4" width="19.7109375" customWidth="1"/>
    <col min="5" max="5" width="11.85546875" bestFit="1" customWidth="1"/>
    <col min="6" max="6" width="22.140625" customWidth="1"/>
    <col min="7" max="7" width="16.42578125" customWidth="1"/>
  </cols>
  <sheetData>
    <row r="3" spans="2:7" x14ac:dyDescent="0.25">
      <c r="B3" t="s">
        <v>165</v>
      </c>
      <c r="C3" s="32" t="s">
        <v>166</v>
      </c>
      <c r="D3" s="30"/>
      <c r="E3" s="30" t="s">
        <v>167</v>
      </c>
      <c r="F3" s="26"/>
      <c r="G3" s="27" t="s">
        <v>168</v>
      </c>
    </row>
    <row r="4" spans="2:7" x14ac:dyDescent="0.25">
      <c r="B4" t="s">
        <v>169</v>
      </c>
      <c r="C4" s="33">
        <f>+Tabla1[[#Totals],[PVP APROX ]]</f>
        <v>2118.12</v>
      </c>
      <c r="D4" s="35"/>
      <c r="E4" s="31">
        <f>+Tabla1[[#Totals],[PVP APROX ]]</f>
        <v>2118.12</v>
      </c>
      <c r="F4" s="28" t="s">
        <v>170</v>
      </c>
      <c r="G4" s="29">
        <f>+Tabla1[[#Totals],[PVP Aprox]]</f>
        <v>2626.65</v>
      </c>
    </row>
    <row r="5" spans="2:7" x14ac:dyDescent="0.25">
      <c r="B5" t="s">
        <v>171</v>
      </c>
      <c r="C5" s="33">
        <f>+Storage!Q14</f>
        <v>139.82</v>
      </c>
      <c r="D5" s="35" t="s">
        <v>172</v>
      </c>
      <c r="E5" s="31"/>
      <c r="F5" s="28" t="s">
        <v>172</v>
      </c>
      <c r="G5" s="29"/>
    </row>
    <row r="6" spans="2:7" x14ac:dyDescent="0.25">
      <c r="B6" t="s">
        <v>173</v>
      </c>
      <c r="C6" s="33">
        <f>+Tabla6[[#Totals],[PVP Mensual]]</f>
        <v>23.52</v>
      </c>
      <c r="D6" s="35" t="s">
        <v>174</v>
      </c>
      <c r="E6" s="31"/>
      <c r="F6" s="28" t="s">
        <v>174</v>
      </c>
      <c r="G6" s="29"/>
    </row>
    <row r="7" spans="2:7" x14ac:dyDescent="0.25">
      <c r="B7" t="s">
        <v>175</v>
      </c>
      <c r="C7" s="33">
        <f>+Tabla7[[#Totals],[PVP Mensual]]</f>
        <v>80.089999999999989</v>
      </c>
      <c r="D7" s="35" t="s">
        <v>176</v>
      </c>
      <c r="E7" s="31"/>
      <c r="F7" s="28" t="s">
        <v>176</v>
      </c>
      <c r="G7" s="29"/>
    </row>
    <row r="8" spans="2:7" x14ac:dyDescent="0.25">
      <c r="C8" s="34"/>
      <c r="D8" s="35"/>
      <c r="E8" s="31"/>
      <c r="F8" s="28"/>
      <c r="G8" s="29"/>
    </row>
    <row r="9" spans="2:7" x14ac:dyDescent="0.25">
      <c r="B9" t="s">
        <v>177</v>
      </c>
      <c r="C9" s="36">
        <f>SUM(C4:C8)</f>
        <v>2361.5500000000002</v>
      </c>
      <c r="D9" s="37"/>
      <c r="E9" s="38">
        <f>SUM(E4:E8)</f>
        <v>2118.12</v>
      </c>
      <c r="F9" s="39"/>
      <c r="G9" s="40">
        <f>SUM(G4:G8)</f>
        <v>2626.65</v>
      </c>
    </row>
    <row r="10" spans="2:7" x14ac:dyDescent="0.25">
      <c r="E10" s="16">
        <f>+C9-E9</f>
        <v>243.43000000000029</v>
      </c>
      <c r="G10" s="16">
        <f>+G9-C9</f>
        <v>265.09999999999991</v>
      </c>
    </row>
    <row r="11" spans="2:7" x14ac:dyDescent="0.25">
      <c r="E11" s="41">
        <f>+E10/C9</f>
        <v>0.10308060384069796</v>
      </c>
    </row>
    <row r="13" spans="2:7" x14ac:dyDescent="0.25">
      <c r="C13" s="14">
        <f>+C9*12</f>
        <v>28338.600000000002</v>
      </c>
      <c r="D13" s="14"/>
      <c r="E13" s="14">
        <f>+E9*12</f>
        <v>25417.439999999999</v>
      </c>
      <c r="F13" s="14"/>
      <c r="G13" s="14">
        <f>+G9*12</f>
        <v>31519.800000000003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VMs inventario</vt:lpstr>
      <vt:lpstr>Storage</vt:lpstr>
      <vt:lpstr>Disco Huerfano</vt:lpstr>
      <vt:lpstr>Snapshot</vt:lpstr>
      <vt:lpstr>IR</vt:lpstr>
      <vt:lpstr>Detalle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DiegoBR</dc:creator>
  <cp:keywords/>
  <dc:description/>
  <cp:lastModifiedBy>Diego Baque Rosales</cp:lastModifiedBy>
  <cp:revision/>
  <dcterms:created xsi:type="dcterms:W3CDTF">2022-07-05T16:41:46Z</dcterms:created>
  <dcterms:modified xsi:type="dcterms:W3CDTF">2022-07-14T19:10:47Z</dcterms:modified>
  <cp:category/>
  <cp:contentStatus/>
</cp:coreProperties>
</file>