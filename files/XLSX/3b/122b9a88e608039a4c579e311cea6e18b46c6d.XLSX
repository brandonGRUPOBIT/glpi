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2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ducacion-my.sharepoint.com/personal/diego_baque_grupobusiness_it/Documents/Servicio Administrado reporte/Optimización clientes NO Adm/"/>
    </mc:Choice>
  </mc:AlternateContent>
  <xr:revisionPtr revIDLastSave="367" documentId="8_{0A171B22-FE6E-4701-ADCB-50A83F4B56C0}" xr6:coauthVersionLast="47" xr6:coauthVersionMax="47" xr10:uidLastSave="{E8B36F68-5072-44BF-8338-36602C5DE658}"/>
  <bookViews>
    <workbookView xWindow="-120" yWindow="-120" windowWidth="24240" windowHeight="13140" activeTab="9" xr2:uid="{102B94A1-85FB-4237-9ACA-84565DE06100}"/>
  </bookViews>
  <sheets>
    <sheet name="VMs" sheetId="1" r:id="rId1"/>
    <sheet name="IP publicas" sheetId="2" r:id="rId2"/>
    <sheet name="App Services" sheetId="6" r:id="rId3"/>
    <sheet name="Disco" sheetId="8" r:id="rId4"/>
    <sheet name="VMs apagadas" sheetId="9" r:id="rId5"/>
    <sheet name="Scale Set" sheetId="11" r:id="rId6"/>
    <sheet name="PostgreSQL" sheetId="7" r:id="rId7"/>
    <sheet name="Kubernetes" sheetId="3" state="hidden" r:id="rId8"/>
    <sheet name="Advisor" sheetId="4" state="hidden" r:id="rId9"/>
    <sheet name="Detalle" sheetId="10" r:id="rId10"/>
    <sheet name="AzureCDN" sheetId="5" state="hidden" r:id="rId1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0" i="10" l="1"/>
  <c r="E10" i="10"/>
  <c r="C10" i="10"/>
  <c r="H12" i="11"/>
  <c r="H11" i="11"/>
  <c r="H10" i="11"/>
  <c r="G3" i="11"/>
  <c r="G10" i="11" s="1"/>
  <c r="G4" i="11"/>
  <c r="G5" i="11"/>
  <c r="G6" i="11"/>
  <c r="G7" i="11"/>
  <c r="G8" i="11"/>
  <c r="G9" i="11"/>
  <c r="G5" i="10" l="1"/>
  <c r="E11" i="10"/>
  <c r="G11" i="10" s="1"/>
  <c r="E7" i="10"/>
  <c r="G7" i="10" s="1"/>
  <c r="E5" i="10"/>
  <c r="C11" i="10"/>
  <c r="C9" i="10"/>
  <c r="C8" i="10"/>
  <c r="C7" i="10"/>
  <c r="C6" i="10"/>
  <c r="C5" i="10"/>
  <c r="J13" i="7"/>
  <c r="J12" i="7"/>
  <c r="I11" i="7"/>
  <c r="J11" i="7"/>
  <c r="J5" i="9"/>
  <c r="J37" i="8"/>
  <c r="J29" i="8"/>
  <c r="H37" i="8"/>
  <c r="C13" i="10" l="1"/>
  <c r="G13" i="10"/>
  <c r="G17" i="10" s="1"/>
  <c r="E13" i="10"/>
  <c r="E17" i="10" s="1"/>
  <c r="J16" i="6"/>
  <c r="J15" i="6"/>
  <c r="J14" i="6"/>
  <c r="I14" i="6"/>
  <c r="E32" i="2"/>
  <c r="L9" i="1"/>
  <c r="M9" i="1"/>
  <c r="M8" i="1"/>
  <c r="M7" i="1"/>
  <c r="L7" i="1"/>
  <c r="H7" i="1"/>
  <c r="C17" i="10" l="1"/>
  <c r="G18" i="10" s="1"/>
  <c r="E14" i="10"/>
  <c r="G14" i="10"/>
  <c r="E18" i="10"/>
  <c r="L8" i="1"/>
</calcChain>
</file>

<file path=xl/sharedStrings.xml><?xml version="1.0" encoding="utf-8"?>
<sst xmlns="http://schemas.openxmlformats.org/spreadsheetml/2006/main" count="1073" uniqueCount="393">
  <si>
    <t>NAME</t>
  </si>
  <si>
    <t>SUBSCRIPTION</t>
  </si>
  <si>
    <t>RESOURCE GROUP</t>
  </si>
  <si>
    <t>LOCATION</t>
  </si>
  <si>
    <t>STATUS</t>
  </si>
  <si>
    <t>OPERATING SYSTEM</t>
  </si>
  <si>
    <t>SIZE</t>
  </si>
  <si>
    <t>DISKS</t>
  </si>
  <si>
    <t>OS LICENSING BENEFIT</t>
  </si>
  <si>
    <t>AZDC02</t>
  </si>
  <si>
    <t>Azure in Open</t>
  </si>
  <si>
    <t>assa</t>
  </si>
  <si>
    <t>East US</t>
  </si>
  <si>
    <t>Running</t>
  </si>
  <si>
    <t>Windows</t>
  </si>
  <si>
    <t>Not enabled</t>
  </si>
  <si>
    <t>NIACCPDB201-test</t>
  </si>
  <si>
    <t>ASSA - Produccion</t>
  </si>
  <si>
    <t>prod-nicaragua-rg</t>
  </si>
  <si>
    <t>East US 2</t>
  </si>
  <si>
    <t>Stopped (deallocated)</t>
  </si>
  <si>
    <t>Linux</t>
  </si>
  <si>
    <t>NIACCPFILENET01-test</t>
  </si>
  <si>
    <t>NIACCPNLB01-test</t>
  </si>
  <si>
    <t>Azure Hybrid Benefit for Windows</t>
  </si>
  <si>
    <t>NIACCPODOOP01-test</t>
  </si>
  <si>
    <t>NIACCPSQL01-test</t>
  </si>
  <si>
    <t>NIAZDDB201</t>
  </si>
  <si>
    <t>PAIDCPADCONNECT</t>
  </si>
  <si>
    <t>SERVIDOR</t>
  </si>
  <si>
    <t>ASSOCIATED TO</t>
  </si>
  <si>
    <t>SKU</t>
  </si>
  <si>
    <t>0ed36529-d5af-4069-b229-46aa22b5289d</t>
  </si>
  <si>
    <t>mc_prod-nassa-rg-pa_nassa-kube8s-prod_westus</t>
  </si>
  <si>
    <t>kubernetes</t>
  </si>
  <si>
    <t>Standard</t>
  </si>
  <si>
    <t>26175cf8-cd4c-4485-8b20-5a5f1286b756</t>
  </si>
  <si>
    <t>mc_dev-nassa-rg-cr_dev-nassa-kube8s-cr_westus2</t>
  </si>
  <si>
    <t>39e49e35-8b4d-4447-a236-21f592695ec1</t>
  </si>
  <si>
    <t>mc_dev2-nassa-rg-pa_nassa-kube8s-dev2_westus</t>
  </si>
  <si>
    <t>6a908879-01f2-4549-a38b-c0881991cd30-PrimaryVirtualIP</t>
  </si>
  <si>
    <t>VNET-AZURE-ASSA-Default-Gateway</t>
  </si>
  <si>
    <t>Basic</t>
  </si>
  <si>
    <t>ac7ce6eb-531f-4737-a688-0eb0451dd819</t>
  </si>
  <si>
    <t>mc_dev-nassa-core-rg-pa_dev-nassa-core-kube8s-pa_westus2</t>
  </si>
  <si>
    <t>AZCDC02-ip</t>
  </si>
  <si>
    <t>azcdc02691</t>
  </si>
  <si>
    <t>AZDC01-PrimaryVirtualIP</t>
  </si>
  <si>
    <t>AZDC01-PublicLoadBalancer</t>
  </si>
  <si>
    <t>AZDC02-ip</t>
  </si>
  <si>
    <t>azdc02798</t>
  </si>
  <si>
    <t>c1f82e25-7007-4a77-9b78-f43b3243f1c5</t>
  </si>
  <si>
    <t>mc_prod-nassa-core-rg-pa_prod-nassa-core-kube8s-pa_westus2</t>
  </si>
  <si>
    <t>devopslab-pa4116268232000</t>
  </si>
  <si>
    <t>kubernetes-a14a44fb923b04061aa6c98df4770c7f</t>
  </si>
  <si>
    <t>kubernetes-a3c2d80c6577a4a5996d75eb9c8d78b5</t>
  </si>
  <si>
    <t>kubernetes-a3f4258a607fb4eb4bad199fd1360a78</t>
  </si>
  <si>
    <t>kubernetes-a3fedd0c424144057b65bee2e9f73707</t>
  </si>
  <si>
    <t>kubernetes-a72a58c8db7614432a67858b657ffff0</t>
  </si>
  <si>
    <t>kubernetes-a7799db0c12b6412e9c6d533625b5d4d</t>
  </si>
  <si>
    <t>kubernetes-a8f6e5b1cfad44cafb5c39d57568095b</t>
  </si>
  <si>
    <t>kubernetes-aa609008fcac448738fad198a9198ad5</t>
  </si>
  <si>
    <t>kubernetes-ac7b68a3c194c4fce9209781028c4329</t>
  </si>
  <si>
    <t>kubernetes-acbf1ee5609b24283b7be7e26c7dfddb</t>
  </si>
  <si>
    <t>kubernetes-ad4fd289f54c94cc692522ad14e0dd06</t>
  </si>
  <si>
    <t>kubernetes-ad9fbbc13dc8c48d0965710aa65d59e6</t>
  </si>
  <si>
    <t>machinelearningVM-ip</t>
  </si>
  <si>
    <t>dev2-nassa-rg-pa</t>
  </si>
  <si>
    <t>-</t>
  </si>
  <si>
    <t>machinelearningVMip333</t>
  </si>
  <si>
    <t>NIAZDDB201-ip</t>
  </si>
  <si>
    <t>niazddb20139</t>
  </si>
  <si>
    <t>pa-nassa-vpn-pub-ip-prod</t>
  </si>
  <si>
    <t>prod-nassa-rg-pa</t>
  </si>
  <si>
    <t>pa-nassa-network-gw-prod</t>
  </si>
  <si>
    <t>prod-dns-pa-ip</t>
  </si>
  <si>
    <t>prod-dns-pa358</t>
  </si>
  <si>
    <t>prod_nassa_pip_vng_ni</t>
  </si>
  <si>
    <t>prod_nassa_vng_ni</t>
  </si>
  <si>
    <t>VNET-AZURE-ASSA-ip</t>
  </si>
  <si>
    <t>vpn-nassa-ip-pa</t>
  </si>
  <si>
    <t>TYPE</t>
  </si>
  <si>
    <t>KUBERNETES VERSION</t>
  </si>
  <si>
    <t>dev-nassa-core-kube8s-pa</t>
  </si>
  <si>
    <t>Kubernetes service</t>
  </si>
  <si>
    <t>dev-nassa-core-rg-pa</t>
  </si>
  <si>
    <t>1.22.4</t>
  </si>
  <si>
    <t>West US 2</t>
  </si>
  <si>
    <t>ASSA - Dev / Test</t>
  </si>
  <si>
    <t>dev-nassa-kube8s-cr</t>
  </si>
  <si>
    <t>dev-nassa-rg-cr</t>
  </si>
  <si>
    <t>nassa-kube8s-dev2</t>
  </si>
  <si>
    <t>West US</t>
  </si>
  <si>
    <t>nassa-kube8s-prod</t>
  </si>
  <si>
    <t>prod-nassa-core-kube8s-pa</t>
  </si>
  <si>
    <t>prod-nassa-core-rg-pa</t>
  </si>
  <si>
    <t>Business Impact</t>
  </si>
  <si>
    <t>Recommendation</t>
  </si>
  <si>
    <t>Subscription Name</t>
  </si>
  <si>
    <t>Resource Name</t>
  </si>
  <si>
    <t>Resource Type</t>
  </si>
  <si>
    <t>Updated Date</t>
  </si>
  <si>
    <t>Potential Annual Cost Savings</t>
  </si>
  <si>
    <t>High</t>
  </si>
  <si>
    <t>Buy virtual machine reserved instances to save money over pay-as-you-go costs</t>
  </si>
  <si>
    <t>6acc8e08-1043-49ac-a4c1-ff182852ac7a</t>
  </si>
  <si>
    <t>ASSA - Dev / Test (6acc8e08-1043-49ac-a4c1-ff182852ac7a)</t>
  </si>
  <si>
    <t>Standard_D4ds_v4 virtual machines in westus2</t>
  </si>
  <si>
    <t>Virtual machine</t>
  </si>
  <si>
    <t>2022-04-06T16:02:55.555Z</t>
  </si>
  <si>
    <t>2,504.82</t>
  </si>
  <si>
    <t>Standard_D4as_v5 virtual machines in westus</t>
  </si>
  <si>
    <t>1,111.39</t>
  </si>
  <si>
    <t>Standard_E8s_v5 virtual machines in westus2</t>
  </si>
  <si>
    <t>5,531.02</t>
  </si>
  <si>
    <t>Consider Database for PostgreSQL reserved instance to save over your pay-as-you-go costs</t>
  </si>
  <si>
    <t>31f934c4-fb15-423a-8ec1-c1be5e4b356d</t>
  </si>
  <si>
    <t>ASSA - Preproduccion (31f934c4-fb15-423a-8ec1-c1be5e4b356d)</t>
  </si>
  <si>
    <t>Subscription</t>
  </si>
  <si>
    <t>2022-04-06T16:43:47.734Z</t>
  </si>
  <si>
    <t>1,926.00</t>
  </si>
  <si>
    <t>476.00</t>
  </si>
  <si>
    <t>3dc9e178-78d5-4ac0-8f26-439d745df898</t>
  </si>
  <si>
    <t>ASSA - Produccion (3dc9e178-78d5-4ac0-8f26-439d745df898)</t>
  </si>
  <si>
    <t>Standard_E8a_v4 virtual machines in westus2</t>
  </si>
  <si>
    <t>2022-04-06T16:01:08.024Z</t>
  </si>
  <si>
    <t>2,788.56</t>
  </si>
  <si>
    <t>Standard_D4s_v3 virtual machines in eastus2</t>
  </si>
  <si>
    <t>959.23</t>
  </si>
  <si>
    <t>741.33</t>
  </si>
  <si>
    <t>Consider App Service stamp fee reserved instance to save over your on-demand costs</t>
  </si>
  <si>
    <t>2022-04-06T16:08:51.985Z</t>
  </si>
  <si>
    <t>2,613.00</t>
  </si>
  <si>
    <t>964.00</t>
  </si>
  <si>
    <t>3,764.00</t>
  </si>
  <si>
    <t>1,851.00</t>
  </si>
  <si>
    <t>1,884.00</t>
  </si>
  <si>
    <t>autoinspection</t>
  </si>
  <si>
    <t>bbc-login</t>
  </si>
  <si>
    <t>calculadora</t>
  </si>
  <si>
    <t>calculadoradev</t>
  </si>
  <si>
    <t>calculadorapreprod</t>
  </si>
  <si>
    <t>canalesvip</t>
  </si>
  <si>
    <t>claims-web-dev</t>
  </si>
  <si>
    <t>claims-web-preprod</t>
  </si>
  <si>
    <t>dev-nassa-frontdoor-pa</t>
  </si>
  <si>
    <t>miassanetweb-prod</t>
  </si>
  <si>
    <t>preprod-nassa-frontdoor-pa</t>
  </si>
  <si>
    <t>prod-nassa-frontdoor-pa</t>
  </si>
  <si>
    <t>rocketui</t>
  </si>
  <si>
    <t>rocketui-dev</t>
  </si>
  <si>
    <t>sales-auto-dev</t>
  </si>
  <si>
    <t>sales-auto-preprod</t>
  </si>
  <si>
    <t>sales-auto-prod</t>
  </si>
  <si>
    <t>sales-soat</t>
  </si>
  <si>
    <t>sales-web-soat-app-dev</t>
  </si>
  <si>
    <t>sales-web-soat-app-preprod</t>
  </si>
  <si>
    <t>salesmanager-assanet</t>
  </si>
  <si>
    <t>salesmanager-dev</t>
  </si>
  <si>
    <t>salesmanager-preprod</t>
  </si>
  <si>
    <t>selfservice-assanet</t>
  </si>
  <si>
    <t>selfservice-cr-dev</t>
  </si>
  <si>
    <t>selfservice-dev</t>
  </si>
  <si>
    <t>selfservice-preprod</t>
  </si>
  <si>
    <t>testingweb</t>
  </si>
  <si>
    <t>trackingauto-preprod</t>
  </si>
  <si>
    <t>trackingautoCDN-Prod</t>
  </si>
  <si>
    <t>ventasvida</t>
  </si>
  <si>
    <t>PRICING TIER</t>
  </si>
  <si>
    <t>SERVICE TYPE</t>
  </si>
  <si>
    <t>RESOURCE ID</t>
  </si>
  <si>
    <t>SQUAD (TAG)</t>
  </si>
  <si>
    <t>Classic</t>
  </si>
  <si>
    <t>Microsoft CDN</t>
  </si>
  <si>
    <t>/subscriptions/3dc9e178-78d5-4ac0-8f26-439d745df898/resourceGroups/prod-nassa-rg-pa/providers/microsoft.cdn/profiles/autoinspection</t>
  </si>
  <si>
    <t>claims-defenders</t>
  </si>
  <si>
    <t>Front Door and CDN profiles</t>
  </si>
  <si>
    <t>/subscriptions/3dc9e178-78d5-4ac0-8f26-439d745df898/resourceGroups/prod-nassa-rg-pa/providers/microsoft.cdn/profiles/bbc-login</t>
  </si>
  <si>
    <t>/subscriptions/3dc9e178-78d5-4ac0-8f26-439d745df898/resourceGroups/prod-nassa-rg-pa/providers/microsoft.cdn/profiles/calculadora</t>
  </si>
  <si>
    <t>/subscriptions/6acc8e08-1043-49ac-a4c1-ff182852ac7a/resourceGroups/dev2-nassa-rg-pa/providers/microsoft.cdn/profiles/calculadoradev</t>
  </si>
  <si>
    <t>/subscriptions/31f934c4-fb15-423a-8ec1-c1be5e4b356d/resourceGroups/preprod-nassa-rg-pa/providers/microsoft.cdn/profiles/calculadorapreprod</t>
  </si>
  <si>
    <t>ASSA - Preproduccion</t>
  </si>
  <si>
    <t>preprod-nassa-rg-pa</t>
  </si>
  <si>
    <t>/subscriptions/3dc9e178-78d5-4ac0-8f26-439d745df898/resourceGroups/prod-nassa-rg-pa/providers/microsoft.cdn/profiles/canalesvip</t>
  </si>
  <si>
    <t>/subscriptions/6acc8e08-1043-49ac-a4c1-ff182852ac7a/resourceGroups/dev2-nassa-rg-pa/providers/microsoft.cdn/profiles/claims-web-dev</t>
  </si>
  <si>
    <t>/subscriptions/31f934c4-fb15-423a-8ec1-c1be5e4b356d/resourceGroups/preprod-nassa-rg-pa/providers/microsoft.cdn/profiles/claims-web-preprod</t>
  </si>
  <si>
    <t>Front Door</t>
  </si>
  <si>
    <t>/subscriptions/6acc8e08-1043-49ac-a4c1-ff182852ac7a/resourceGroups/dev2-nassa-rg-pa/providers/Microsoft.Cdn/profiles/dev-nassa-frontdoor-pa</t>
  </si>
  <si>
    <t>cross-squad</t>
  </si>
  <si>
    <t>/subscriptions/3dc9e178-78d5-4ac0-8f26-439d745df898/resourceGroups/prod-nassa-rg-pa/providers/microsoft.cdn/profiles/miassanetweb-prod</t>
  </si>
  <si>
    <t>/subscriptions/31f934c4-fb15-423a-8ec1-c1be5e4b356d/resourceGroups/preprod-nassa-rg-pa/providers/Microsoft.Cdn/profiles/preprod-nassa-frontdoor-pa</t>
  </si>
  <si>
    <t>cross-squads</t>
  </si>
  <si>
    <t>/subscriptions/3dc9e178-78d5-4ac0-8f26-439d745df898/resourceGroups/prod-nassa-rg-pa/providers/Microsoft.Cdn/profiles/prod-nassa-frontdoor-pa</t>
  </si>
  <si>
    <t>Premium</t>
  </si>
  <si>
    <t>Verizon CDN</t>
  </si>
  <si>
    <t>/subscriptions/3dc9e178-78d5-4ac0-8f26-439d745df898/resourceGroups/prod-nassa-rg-pa/providers/microsoft.cdn/profiles/rocketui</t>
  </si>
  <si>
    <t>money-makers</t>
  </si>
  <si>
    <t>/subscriptions/6acc8e08-1043-49ac-a4c1-ff182852ac7a/resourceGroups/dev2-nassa-rg-pa/providers/microsoft.cdn/profiles/rocketui-dev</t>
  </si>
  <si>
    <t>/subscriptions/6acc8e08-1043-49ac-a4c1-ff182852ac7a/resourceGroups/dev2-nassa-rg-pa/providers/microsoft.cdn/profiles/sales-auto-dev</t>
  </si>
  <si>
    <t>/subscriptions/31f934c4-fb15-423a-8ec1-c1be5e4b356d/resourceGroups/preprod-nassa-rg-pa/providers/microsoft.cdn/profiles/sales-auto-preprod</t>
  </si>
  <si>
    <t>/subscriptions/3dc9e178-78d5-4ac0-8f26-439d745df898/resourceGroups/prod-nassa-rg-pa/providers/microsoft.cdn/profiles/sales-auto-prod</t>
  </si>
  <si>
    <t>/subscriptions/3dc9e178-78d5-4ac0-8f26-439d745df898/resourceGroups/prod-nassa-rg-pa/providers/microsoft.cdn/profiles/sales-soat</t>
  </si>
  <si>
    <t>/subscriptions/6acc8e08-1043-49ac-a4c1-ff182852ac7a/resourceGroups/dev2-nassa-rg-pa/providers/microsoft.cdn/profiles/sales-web-soat-app-dev</t>
  </si>
  <si>
    <t>/subscriptions/31f934c4-fb15-423a-8ec1-c1be5e4b356d/resourceGroups/preprod-nassa-rg-pa/providers/microsoft.cdn/profiles/sales-web-soat-app-preprod</t>
  </si>
  <si>
    <t>/subscriptions/3dc9e178-78d5-4ac0-8f26-439d745df898/resourceGroups/prod-nassa-rg-pa/providers/microsoft.cdn/profiles/salesmanager-assanet</t>
  </si>
  <si>
    <t>/subscriptions/6acc8e08-1043-49ac-a4c1-ff182852ac7a/resourceGroups/dev2-nassa-rg-pa/providers/microsoft.cdn/profiles/salesmanager-dev</t>
  </si>
  <si>
    <t>/subscriptions/31f934c4-fb15-423a-8ec1-c1be5e4b356d/resourceGroups/preprod-nassa-rg-pa/providers/microsoft.cdn/profiles/salesmanager-preprod</t>
  </si>
  <si>
    <t>/subscriptions/3dc9e178-78d5-4ac0-8f26-439d745df898/resourceGroups/prod-nassa-rg-pa/providers/microsoft.cdn/profiles/selfservice-assanet</t>
  </si>
  <si>
    <t>/subscriptions/6acc8e08-1043-49ac-a4c1-ff182852ac7a/resourceGroups/dev-nassa-rg-cr/providers/microsoft.cdn/profiles/selfservice-cr-dev</t>
  </si>
  <si>
    <t>/subscriptions/6acc8e08-1043-49ac-a4c1-ff182852ac7a/resourceGroups/dev2-nassa-rg-pa/providers/microsoft.cdn/profiles/selfservice-dev</t>
  </si>
  <si>
    <t>/subscriptions/31f934c4-fb15-423a-8ec1-c1be5e4b356d/resourceGroups/preprod-nassa-rg-pa/providers/microsoft.cdn/profiles/selfservice-preprod</t>
  </si>
  <si>
    <t>/subscriptions/6acc8e08-1043-49ac-a4c1-ff182852ac7a/resourceGroups/dev2-nassa-rg-pa/providers/microsoft.cdn/profiles/testingweb</t>
  </si>
  <si>
    <t>/subscriptions/31f934c4-fb15-423a-8ec1-c1be5e4b356d/resourceGroups/preprod-nassa-rg-pa/providers/microsoft.cdn/profiles/trackingauto-preprod</t>
  </si>
  <si>
    <t>/subscriptions/3dc9e178-78d5-4ac0-8f26-439d745df898/resourceGroups/prod-nassa-rg-pa/providers/microsoft.cdn/profiles/trackingautoCDN-Prod</t>
  </si>
  <si>
    <t>/subscriptions/3dc9e178-78d5-4ac0-8f26-439d745df898/resourceGroups/prod-nassa-rg-pa/providers/microsoft.cdn/profiles/ventasvida</t>
  </si>
  <si>
    <t>APP SERVICE PLAN</t>
  </si>
  <si>
    <t>APP TYPE</t>
  </si>
  <si>
    <t>bbc-web-pa</t>
  </si>
  <si>
    <t>Premium V3</t>
  </si>
  <si>
    <t>/subscriptions/3dc9e178-78d5-4ac0-8f26-439d745df898/resourceGroups/prod-nassa-rg-pa/providers/Microsoft.Web/serverfarms/nassa-appservice-plan-pa</t>
  </si>
  <si>
    <t>Web App</t>
  </si>
  <si>
    <t>claims-auction-portal-pa</t>
  </si>
  <si>
    <t>claims-providers-web-pa</t>
  </si>
  <si>
    <t>health-dataloader-function-pa</t>
  </si>
  <si>
    <t>Stopped</t>
  </si>
  <si>
    <t>/subscriptions/3dc9e178-78d5-4ac0-8f26-439d745df898/resourceGroups/prod-nassa-rg-pa/providers/Microsoft.Web/serverfarms/health-data-loader-service-plan</t>
  </si>
  <si>
    <t>Function App</t>
  </si>
  <si>
    <t>life-serverless-app-pa</t>
  </si>
  <si>
    <t>Dynamic</t>
  </si>
  <si>
    <t>/subscriptions/3dc9e178-78d5-4ac0-8f26-439d745df898/resourceGroups/prod-nassa-rg-pa/providers/Microsoft.Web/serverfarms/life-serverless-app-service-plan</t>
  </si>
  <si>
    <t>life-web-pa</t>
  </si>
  <si>
    <t>nassa-reports-function-cr</t>
  </si>
  <si>
    <t>/subscriptions/3dc9e178-78d5-4ac0-8f26-439d745df898/resourceGroups/prod-nassa-rg-cr/providers/Microsoft.Web/serverfarms/nassa-appservice-plan-cr</t>
  </si>
  <si>
    <t>prod-nassa-rg-cr</t>
  </si>
  <si>
    <t>nassa-reports-function-pa</t>
  </si>
  <si>
    <t>sales-payment-function-pa</t>
  </si>
  <si>
    <t>sales-web-calculator-pa</t>
  </si>
  <si>
    <t>version-mgr-function-pa</t>
  </si>
  <si>
    <t>/subscriptions/3dc9e178-78d5-4ac0-8f26-439d745df898/resourceGroups/prod-nassa-rg-pa/providers/Microsoft.Web/serverfarms/version-mgr-function-service-plan</t>
  </si>
  <si>
    <t>walletpasses-generator-function-pa</t>
  </si>
  <si>
    <t>/subscriptions/3dc9e178-78d5-4ac0-8f26-439d745df898/resourceGroups/prod-nassa-rg-pa/providers/Microsoft.Web/serverfarms/walletpasses-generator-service-plan</t>
  </si>
  <si>
    <t>HIGH AVAILABILITY</t>
  </si>
  <si>
    <t>VERSION</t>
  </si>
  <si>
    <t>database-permissions</t>
  </si>
  <si>
    <t>Azure Database for PostgreSQL single server</t>
  </si>
  <si>
    <t>Available</t>
  </si>
  <si>
    <t>--</t>
  </si>
  <si>
    <t>dev-nassa-core-postgresql-flexible-server-pa</t>
  </si>
  <si>
    <t>Azure Database for PostgreSQL flexible server</t>
  </si>
  <si>
    <t>Disabled</t>
  </si>
  <si>
    <t>dev-nassa-postgresql-flexible-server-cr</t>
  </si>
  <si>
    <t>dev2-nassa-postgresql-flexible-server-pa</t>
  </si>
  <si>
    <t>preprod-nassa-core-postgresql-flexible-server-pa</t>
  </si>
  <si>
    <t>preprod-nassa-core-rg-pa</t>
  </si>
  <si>
    <t>preprod-nassa-postgresql-flexible-server-cr</t>
  </si>
  <si>
    <t>preprod-nassa-rg-cr</t>
  </si>
  <si>
    <t>preprod-nassa-postgresql-flexible-server-pa</t>
  </si>
  <si>
    <t>prod-nassa-core-postgresql-flexible-server-pa</t>
  </si>
  <si>
    <t>prod-nassa-postgresql-flexible-server-pa</t>
  </si>
  <si>
    <t>STORAGE ACCOUNT TYPE</t>
  </si>
  <si>
    <t>SIZE (GIB)</t>
  </si>
  <si>
    <t>OWNER</t>
  </si>
  <si>
    <t>TIME CREATED</t>
  </si>
  <si>
    <t>asrseeddisk-NIACCPSQ-NIACCPSQ-4e1fcecc-8ae4-4b15-9171-11cdaca2e93c</t>
  </si>
  <si>
    <t>Standard HDD LRS</t>
  </si>
  <si>
    <t>3/29/2022, 11:18:36 AM</t>
  </si>
  <si>
    <t>asrseeddisk-NIACCPSQ-NIACCPSQ-755e96a9-0786-427b-91c9-acf311715878</t>
  </si>
  <si>
    <t>asrseeddisk-NIACCPSQ-NIACCPSQ-c8d149c4-28bb-4cf3-b831-59e392922b1b</t>
  </si>
  <si>
    <t>asrseeddisk-NIACCPSQ-NIACCPSQ-f30c1f4d-2b2a-4349-b8bb-07fabffadd36</t>
  </si>
  <si>
    <t>asrseeddisk-NIACCPSQ-NIACCPSQ-ffb04009-21b2-4d28-baa2-0afc7d3689e6</t>
  </si>
  <si>
    <t>AZCDC02_DataDisk_0</t>
  </si>
  <si>
    <t>Standard SSD LRS</t>
  </si>
  <si>
    <t>10/9/2018, 3:31:39 PM</t>
  </si>
  <si>
    <t>AZCDC02_OsDisk_1_97debf26140b461382151aeabdb070f8</t>
  </si>
  <si>
    <t>10/9/2018, 3:32:05 PM</t>
  </si>
  <si>
    <t>AZDC02_OsDisk_1_f1b2c00b1b444a0b8dd02b527676c936</t>
  </si>
  <si>
    <t>10/9/2018, 2:50:08 PM</t>
  </si>
  <si>
    <t>kubernetes-dynamic-pvc-950f30f3-43b2-4476-ac07-6f6713339876</t>
  </si>
  <si>
    <t>aks-primary-31997481-vmss_313</t>
  </si>
  <si>
    <t>11/9/2021, 3:29:39 PM</t>
  </si>
  <si>
    <t>machinelearningVM_disk1_71ea8691cc4e4048be500a32b814927e</t>
  </si>
  <si>
    <t>Premium SSD LRS</t>
  </si>
  <si>
    <t>11/16/2021, 2:14:08 PM</t>
  </si>
  <si>
    <t>machinelearningVM_OsDisk_1_4df251ec73f74646a96c2f4ee25b6339</t>
  </si>
  <si>
    <t>11/16/2021, 3:45:26 PM</t>
  </si>
  <si>
    <t>NIACCPDB201-datadisk-01-test</t>
  </si>
  <si>
    <t>2/10/2022, 6:59:23 PM</t>
  </si>
  <si>
    <t>dev-nicaragua-migrate-rg</t>
  </si>
  <si>
    <t>9/13/2021, 8:34:20 AM</t>
  </si>
  <si>
    <t>NIACCPDB201-OSdisk-00-test</t>
  </si>
  <si>
    <t>NIACCPFILENET01-datadisk-01-test</t>
  </si>
  <si>
    <t>2/15/2022, 11:36:38 AM</t>
  </si>
  <si>
    <t>9/13/2021, 8:59:57 AM</t>
  </si>
  <si>
    <t>NIACCPFILENET01-OSdisk-00-test</t>
  </si>
  <si>
    <t>2/15/2022, 11:36:37 AM</t>
  </si>
  <si>
    <t>NIACCPNLB01-OSdisk-00-test</t>
  </si>
  <si>
    <t>4/4/2022, 11:45:59 AM</t>
  </si>
  <si>
    <t>NIACCPODOOP01-OSdisk-00-test</t>
  </si>
  <si>
    <t>3/19/2022, 12:18:21 PM</t>
  </si>
  <si>
    <t>NIACCPSQL01-datadisk-01-test</t>
  </si>
  <si>
    <t>4/5/2022, 4:42:07 PM</t>
  </si>
  <si>
    <t>NIACCPSQL01-datadisk-02-test</t>
  </si>
  <si>
    <t>NIACCPSQL01-datadisk-03-test</t>
  </si>
  <si>
    <t>NIACCPSQL01-datadisk-04-test</t>
  </si>
  <si>
    <t>NIACCPSQL01-OSdisk-00-test</t>
  </si>
  <si>
    <t>niazddb201_datadisk</t>
  </si>
  <si>
    <t>3/3/2022, 11:35:05 AM</t>
  </si>
  <si>
    <t>NIAZDDB201_OsDisk_1_6e16df7d171c49fb9dd8d4020afa62a0</t>
  </si>
  <si>
    <t>3/16/2022, 12:50:55 PM</t>
  </si>
  <si>
    <t>pvc-166eac68-99b8-4a6e-9d24-dcf898b934ba</t>
  </si>
  <si>
    <t>aks-primary-18992953-vmss_0</t>
  </si>
  <si>
    <t>3/8/2022, 8:14:49 PM</t>
  </si>
  <si>
    <t>pvc-681b65a1-87cb-4acb-9add-efe79a73a1f2</t>
  </si>
  <si>
    <t>aks-primary-37414353-vmss_0</t>
  </si>
  <si>
    <t>3/18/2022, 5:46:52 PM</t>
  </si>
  <si>
    <t>pvc-687dec2d-19fb-4ba3-9d5a-be469e413910</t>
  </si>
  <si>
    <t>aks-primary-17108483-vmss_31</t>
  </si>
  <si>
    <t>3/8/2022, 7:12:15 PM</t>
  </si>
  <si>
    <t>pvc-799b1ba4-04e1-47b7-bb98-d64710525b01</t>
  </si>
  <si>
    <t>4/5/2022, 9:40:46 AM</t>
  </si>
  <si>
    <t>pvc-a481a671-ae1e-43bb-bf4f-f9184736c601</t>
  </si>
  <si>
    <t>3/8/2022, 8:33:05 PM</t>
  </si>
  <si>
    <t>pvc-b7ee1b99-52f9-4f5b-a68a-334859783e26</t>
  </si>
  <si>
    <t>aks-primary-17108483-vmss_3</t>
  </si>
  <si>
    <t>pvc-d2aef9f8-a16d-4324-882c-6a67e445c0e7</t>
  </si>
  <si>
    <t>aks-primary-31948964-vmss_0</t>
  </si>
  <si>
    <t>3/8/2022, 8:42:17 PM</t>
  </si>
  <si>
    <t>Standard D4s v3 (4 vcpus, 16 GiB memory IOPS 6400)</t>
  </si>
  <si>
    <t>Standard_A1_v2 (1 vcpus, 2 GiB memory IOPS 2x500)</t>
  </si>
  <si>
    <t>Standard_F2s (2 vcpus, 4 GiB memory IOPS 3200)</t>
  </si>
  <si>
    <t>Standard_D2s_v3 (2 vcpus, 8 GiB memory IOPS 3200)</t>
  </si>
  <si>
    <t>Standard_A4m_v2  (4 vcpus, 32 GiB memory IOPS 8x500)</t>
  </si>
  <si>
    <t>Plantilla propuesta</t>
  </si>
  <si>
    <t>Standard_B2s (2 vcpus, 4 GiB memory IOPS 1280)</t>
  </si>
  <si>
    <t>PVP Aprox Men.</t>
  </si>
  <si>
    <t>PVP aprox Men.2</t>
  </si>
  <si>
    <t>IR</t>
  </si>
  <si>
    <t>PVP Aprox Mensual</t>
  </si>
  <si>
    <t>PVP Aprox. Mensual</t>
  </si>
  <si>
    <t>PVP Aprox IR Mensual</t>
  </si>
  <si>
    <t>Recovery</t>
  </si>
  <si>
    <t>PVP Aprox HDD</t>
  </si>
  <si>
    <t>Tamaño</t>
  </si>
  <si>
    <t>500 y 210 GIB</t>
  </si>
  <si>
    <t>2500 y 130 GIB</t>
  </si>
  <si>
    <t>80 GIB</t>
  </si>
  <si>
    <t>PVP Aprox. Mens.</t>
  </si>
  <si>
    <t>PVP Aprom. Mens.</t>
  </si>
  <si>
    <t>PVP Aprox IR Mens.</t>
  </si>
  <si>
    <t>Plantilla IR</t>
  </si>
  <si>
    <t>Cantidad</t>
  </si>
  <si>
    <t>Recursos</t>
  </si>
  <si>
    <t>VMs</t>
  </si>
  <si>
    <t>IP publicas</t>
  </si>
  <si>
    <t>App Services</t>
  </si>
  <si>
    <t xml:space="preserve">Discos huérfanos </t>
  </si>
  <si>
    <t>VMs Apagadas</t>
  </si>
  <si>
    <t>PostgreseSQL</t>
  </si>
  <si>
    <t>Valor de consumo Aprox. Mens.</t>
  </si>
  <si>
    <t>Escenario 1</t>
  </si>
  <si>
    <t>Cambio de plantilla</t>
  </si>
  <si>
    <t>Eliminación</t>
  </si>
  <si>
    <t>Compra de IR</t>
  </si>
  <si>
    <t>Escenario 2</t>
  </si>
  <si>
    <t>Pago Aprox. Anual</t>
  </si>
  <si>
    <t>Pago Aprox. Mensual</t>
  </si>
  <si>
    <t>Ahorro Aprox. Mensual</t>
  </si>
  <si>
    <t>Ahorro Aprox. Anual</t>
  </si>
  <si>
    <t>Actividad</t>
  </si>
  <si>
    <t>aks-primary-17108463-vmss</t>
  </si>
  <si>
    <t>West us</t>
  </si>
  <si>
    <t>ASSA-Dev/Test</t>
  </si>
  <si>
    <t>aks-primary-18992953-vmss</t>
  </si>
  <si>
    <t>aks-primary-31948964-vmss</t>
  </si>
  <si>
    <t>aks-primary-31997481-vmss</t>
  </si>
  <si>
    <t>aks-primary-37414353-vmss</t>
  </si>
  <si>
    <t>aks-webapps-12931384-vmss</t>
  </si>
  <si>
    <t>aks-webapps-30261837-vmss</t>
  </si>
  <si>
    <t>West us 2</t>
  </si>
  <si>
    <t>ASSA-Produccion</t>
  </si>
  <si>
    <t>Standard_D4as_v5</t>
  </si>
  <si>
    <t>Standard_E8a_v4</t>
  </si>
  <si>
    <t>Standard_D4ds_v4</t>
  </si>
  <si>
    <t>Standard_E8s_v5</t>
  </si>
  <si>
    <t>Plantillas</t>
  </si>
  <si>
    <t>Suscripción</t>
  </si>
  <si>
    <t>Región</t>
  </si>
  <si>
    <t>Instancia</t>
  </si>
  <si>
    <t>Nombre VMs</t>
  </si>
  <si>
    <t>PVP Aprox. Mensual unidad</t>
  </si>
  <si>
    <t>PVP Aprox # Instancia</t>
  </si>
  <si>
    <t>PVP Aprox. IR</t>
  </si>
  <si>
    <t>Scele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</si>
</sst>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Segoe U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44" fontId="2" fillId="0" borderId="0" xfId="1" applyFont="1"/>
    <xf numFmtId="44" fontId="2" fillId="0" borderId="0" xfId="0" applyNumberFormat="1" applyFont="1"/>
    <xf numFmtId="9" fontId="2" fillId="2" borderId="0" xfId="2" applyFont="1" applyFill="1"/>
    <xf numFmtId="44" fontId="0" fillId="0" borderId="0" xfId="0" applyNumberFormat="1"/>
    <xf numFmtId="9" fontId="0" fillId="2" borderId="0" xfId="2" applyFont="1" applyFill="1"/>
    <xf numFmtId="44" fontId="2" fillId="2" borderId="0" xfId="0" applyNumberFormat="1" applyFont="1" applyFill="1"/>
    <xf numFmtId="44" fontId="2" fillId="2" borderId="0" xfId="1" applyFont="1" applyFill="1"/>
    <xf numFmtId="0" fontId="2" fillId="0" borderId="0" xfId="0" applyFont="1" applyAlignment="1">
      <alignment horizontal="left" vertical="top"/>
    </xf>
    <xf numFmtId="0" fontId="2" fillId="0" borderId="1" xfId="0" applyFont="1" applyBorder="1"/>
    <xf numFmtId="44" fontId="2" fillId="0" borderId="2" xfId="0" applyNumberFormat="1" applyFont="1" applyBorder="1"/>
    <xf numFmtId="44" fontId="2" fillId="0" borderId="3" xfId="0" applyNumberFormat="1" applyFont="1" applyBorder="1"/>
    <xf numFmtId="0" fontId="2" fillId="0" borderId="4" xfId="0" applyFont="1" applyBorder="1"/>
    <xf numFmtId="0" fontId="2" fillId="0" borderId="6" xfId="0" applyFont="1" applyBorder="1"/>
    <xf numFmtId="44" fontId="2" fillId="0" borderId="7" xfId="0" applyNumberFormat="1" applyFont="1" applyBorder="1"/>
    <xf numFmtId="44" fontId="2" fillId="0" borderId="8" xfId="0" applyNumberFormat="1" applyFont="1" applyBorder="1"/>
    <xf numFmtId="44" fontId="2" fillId="0" borderId="2" xfId="1" applyFont="1" applyBorder="1"/>
    <xf numFmtId="44" fontId="2" fillId="0" borderId="3" xfId="1" applyFont="1" applyBorder="1"/>
    <xf numFmtId="44" fontId="2" fillId="0" borderId="0" xfId="1" applyFont="1" applyBorder="1"/>
    <xf numFmtId="44" fontId="2" fillId="0" borderId="5" xfId="1" applyFont="1" applyBorder="1"/>
    <xf numFmtId="44" fontId="2" fillId="0" borderId="7" xfId="1" applyFont="1" applyBorder="1"/>
    <xf numFmtId="44" fontId="2" fillId="0" borderId="8" xfId="1" applyFont="1" applyBorder="1"/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/>
    </xf>
    <xf numFmtId="44" fontId="0" fillId="0" borderId="0" xfId="1" applyFont="1"/>
    <xf numFmtId="44" fontId="2" fillId="2" borderId="0" xfId="0" applyNumberFormat="1" applyFont="1" applyFill="1" applyBorder="1"/>
    <xf numFmtId="44" fontId="2" fillId="2" borderId="5" xfId="0" applyNumberFormat="1" applyFont="1" applyFill="1" applyBorder="1"/>
    <xf numFmtId="44" fontId="2" fillId="2" borderId="8" xfId="0" applyNumberFormat="1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4" xfId="0" applyFont="1" applyFill="1" applyBorder="1"/>
    <xf numFmtId="0" fontId="2" fillId="0" borderId="4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5" xfId="0" applyFont="1" applyBorder="1"/>
    <xf numFmtId="0" fontId="2" fillId="0" borderId="1" xfId="0" applyFont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44" fontId="2" fillId="0" borderId="1" xfId="1" applyFont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/>
    </xf>
  </cellXfs>
  <cellStyles count="3">
    <cellStyle name="Moneda" xfId="1" builtinId="4"/>
    <cellStyle name="Normal" xfId="0" builtinId="0"/>
    <cellStyle name="Porcentaje" xfId="2" builtinId="5"/>
  </cellStyles>
  <dxfs count="1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8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34" formatCode="_ &quot;$&quot;* #,##0.00_ ;_ &quot;$&quot;* \-#,##0.00_ ;_ &quot;$&quot;* &quot;-&quot;??_ ;_ @_ 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34" formatCode="_ &quot;$&quot;* #,##0.00_ ;_ &quot;$&quot;* \-#,##0.00_ ;_ &quot;$&quot;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34" formatCode="_ &quot;$&quot;* #,##0.00_ ;_ &quot;$&quot;* \-#,##0.00_ ;_ &quot;$&quot;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34" formatCode="_ &quot;$&quot;* #,##0.00_ ;_ &quot;$&quot;* \-#,##0.00_ ;_ &quot;$&quot;* &quot;-&quot;??_ ;_ @_ 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numFmt numFmtId="34" formatCode="_ &quot;$&quot;* #,##0.00_ ;_ &quot;$&quot;* \-#,##0.00_ ;_ &quot;$&quot;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34" formatCode="_ &quot;$&quot;* #,##0.00_ ;_ &quot;$&quot;* \-#,##0.00_ ;_ &quot;$&quot;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34" formatCode="_ &quot;$&quot;* #,##0.00_ ;_ &quot;$&quot;* \-#,##0.00_ ;_ &quot;$&quot;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180975</xdr:rowOff>
    </xdr:from>
    <xdr:to>
      <xdr:col>5</xdr:col>
      <xdr:colOff>1381125</xdr:colOff>
      <xdr:row>33</xdr:row>
      <xdr:rowOff>76200</xdr:rowOff>
    </xdr:to>
    <xdr:pic>
      <xdr:nvPicPr>
        <xdr:cNvPr id="2" name="Picture 21">
          <a:extLst>
            <a:ext uri="{FF2B5EF4-FFF2-40B4-BE49-F238E27FC236}">
              <a16:creationId xmlns:a16="http://schemas.microsoft.com/office/drawing/2014/main" id="{1B53E1DD-3C0A-4501-89EB-C1127613C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28975"/>
          <a:ext cx="8191500" cy="3133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18</xdr:row>
      <xdr:rowOff>66675</xdr:rowOff>
    </xdr:from>
    <xdr:to>
      <xdr:col>2</xdr:col>
      <xdr:colOff>1952625</xdr:colOff>
      <xdr:row>57</xdr:row>
      <xdr:rowOff>85725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9197AD36-E04E-431D-AFD5-E8B185591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400175"/>
          <a:ext cx="7515225" cy="521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142875</xdr:colOff>
      <xdr:row>59</xdr:row>
      <xdr:rowOff>114300</xdr:rowOff>
    </xdr:from>
    <xdr:to>
      <xdr:col>3</xdr:col>
      <xdr:colOff>1714500</xdr:colOff>
      <xdr:row>79</xdr:row>
      <xdr:rowOff>57150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11C63FA6-A0E1-4376-923E-17F1E1ED1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6915150"/>
          <a:ext cx="10467975" cy="260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E173A5-D693-4983-BEB5-F00EEB81D251}" name="Tabla1" displayName="Tabla1" ref="A1:M7" totalsRowCount="1" headerRowDxfId="155" dataDxfId="154">
  <autoFilter ref="A1:M6" xr:uid="{91E173A5-D693-4983-BEB5-F00EEB81D251}"/>
  <sortState xmlns:xlrd2="http://schemas.microsoft.com/office/spreadsheetml/2017/richdata2" ref="A2:J6">
    <sortCondition ref="E1:E6"/>
  </sortState>
  <tableColumns count="13">
    <tableColumn id="1" xr3:uid="{FD471715-6477-4CFE-AAFD-53D1DC72D432}" name="SERVIDOR" dataDxfId="153" totalsRowDxfId="152"/>
    <tableColumn id="2" xr3:uid="{502080A6-8FDF-4E30-AFA1-CF22582D304C}" name="SUBSCRIPTION" dataDxfId="151" totalsRowDxfId="150"/>
    <tableColumn id="3" xr3:uid="{DDCA315E-6405-47E6-AC08-E5A02DD0AA44}" name="RESOURCE GROUP" dataDxfId="149" totalsRowDxfId="148"/>
    <tableColumn id="4" xr3:uid="{2164E557-8427-4DA1-A944-7988D32AD586}" name="LOCATION" dataDxfId="147" totalsRowDxfId="146"/>
    <tableColumn id="5" xr3:uid="{602F51C6-B865-44A6-AA5A-A5873DAB8D7D}" name="STATUS" dataDxfId="145" totalsRowDxfId="144"/>
    <tableColumn id="6" xr3:uid="{E77CC984-9A8A-486B-B1BD-25DB108633ED}" name="OPERATING SYSTEM" dataDxfId="143" totalsRowDxfId="142"/>
    <tableColumn id="7" xr3:uid="{14F24A5F-0CFD-44CA-A226-70B6CF3FDD11}" name="SIZE" dataDxfId="141" totalsRowDxfId="140"/>
    <tableColumn id="11" xr3:uid="{36DAD52B-8A1C-44F6-990E-1D2CFEA19453}" name="PVP Aprox Men." totalsRowFunction="custom" dataDxfId="139" totalsRowDxfId="138" dataCellStyle="Moneda">
      <totalsRowFormula>SUM(H2:H6)</totalsRowFormula>
    </tableColumn>
    <tableColumn id="8" xr3:uid="{D6F531E6-B308-4816-A8B0-F7D964E5AF29}" name="DISKS" dataDxfId="137" totalsRowDxfId="136"/>
    <tableColumn id="9" xr3:uid="{A3BE79FB-40CA-4D41-8F76-47755FC3F960}" name="OS LICENSING BENEFIT" dataDxfId="135" totalsRowDxfId="134"/>
    <tableColumn id="10" xr3:uid="{B5CB2169-2B18-4A86-A7BE-214ED546505E}" name="Plantilla propuesta" dataDxfId="133" totalsRowDxfId="132"/>
    <tableColumn id="12" xr3:uid="{0C8E826E-2D17-4091-BDAE-15D7576AA538}" name="PVP aprox Men.2" totalsRowFunction="custom" dataDxfId="131" totalsRowDxfId="130" dataCellStyle="Moneda">
      <totalsRowFormula>SUM(L2:L6)</totalsRowFormula>
    </tableColumn>
    <tableColumn id="13" xr3:uid="{EE58EDD6-0323-43F6-B2EB-F1139168E7AD}" name="IR" totalsRowFunction="custom" dataDxfId="129" totalsRowDxfId="128" dataCellStyle="Moneda">
      <totalsRowFormula>SUM(M2:M6)</totalsRow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8201C6F-28E8-4572-8351-50553D0F457C}" name="Tabla11" displayName="Tabla11" ref="G11:H15" totalsRowShown="0" headerRowDxfId="127" dataDxfId="126">
  <autoFilter ref="G11:H15" xr:uid="{E8201C6F-28E8-4572-8351-50553D0F457C}"/>
  <tableColumns count="2">
    <tableColumn id="1" xr3:uid="{CC41BB8D-CA2C-4BEE-9779-3F352AE61951}" name="Plantilla IR" dataDxfId="125"/>
    <tableColumn id="2" xr3:uid="{7352857D-828F-4A05-81B7-C1D82EE3B856}" name="Cantidad" dataDxfId="12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B3A94D-90C5-46DE-9D9B-3300030CEA49}" name="Tabla2" displayName="Tabla2" ref="A1:E32" totalsRowCount="1" headerRowDxfId="123" dataDxfId="122">
  <autoFilter ref="A1:E31" xr:uid="{B6B3A94D-90C5-46DE-9D9B-3300030CEA49}">
    <filterColumn colId="2">
      <filters>
        <filter val="-"/>
      </filters>
    </filterColumn>
  </autoFilter>
  <tableColumns count="5">
    <tableColumn id="1" xr3:uid="{FAFD316A-EF42-465F-90F8-06D67970BA12}" name="NAME" dataDxfId="121" totalsRowDxfId="120"/>
    <tableColumn id="2" xr3:uid="{9DE6B91D-23E8-4BA3-8901-34D194E9FE3C}" name="RESOURCE GROUP" dataDxfId="119" totalsRowDxfId="118"/>
    <tableColumn id="3" xr3:uid="{C08C9490-F4C4-4143-8E4B-8C779AEECC16}" name="ASSOCIATED TO" dataDxfId="117" totalsRowDxfId="116"/>
    <tableColumn id="4" xr3:uid="{054A6F8C-C159-4D48-9EEF-653B333DB0FB}" name="SKU" dataDxfId="115" totalsRowDxfId="114"/>
    <tableColumn id="5" xr3:uid="{EA16B7F9-D81D-4688-9F65-E26372370E44}" name="PVP Aprox Mensual" totalsRowFunction="custom" dataDxfId="113" totalsRowDxfId="112">
      <totalsRowFormula>+E24+E30+E31</totalsRowFormula>
    </tableColumn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20C36D-E100-4B0B-88AF-D7D7AEC03F74}" name="Tabla3" displayName="Tabla3" ref="A1:J14" totalsRowCount="1" headerRowDxfId="111" dataDxfId="110">
  <autoFilter ref="A1:J13" xr:uid="{9820C36D-E100-4B0B-88AF-D7D7AEC03F74}">
    <filterColumn colId="3">
      <filters>
        <filter val="Premium V3"/>
      </filters>
    </filterColumn>
  </autoFilter>
  <tableColumns count="10">
    <tableColumn id="1" xr3:uid="{79BBE2F8-DA79-4A9B-83A1-00892CD7549A}" name="NAME" dataDxfId="109" totalsRowDxfId="108"/>
    <tableColumn id="2" xr3:uid="{3334793F-920F-4BFD-880C-CB1872F090B2}" name="STATUS" dataDxfId="107" totalsRowDxfId="106"/>
    <tableColumn id="3" xr3:uid="{BBF7A518-6FF9-462A-B623-402E19FFE7B7}" name="LOCATION" dataDxfId="105" totalsRowDxfId="104"/>
    <tableColumn id="4" xr3:uid="{91CA3667-6A45-491C-B396-6ABA9583240F}" name="PRICING TIER" dataDxfId="103" totalsRowDxfId="102"/>
    <tableColumn id="5" xr3:uid="{E0FB7042-2BDE-47D6-BEDE-A02A535BFDC8}" name="APP SERVICE PLAN" dataDxfId="101" totalsRowDxfId="100"/>
    <tableColumn id="6" xr3:uid="{B67FE7AB-69E7-48CB-A621-E8307734F54B}" name="SUBSCRIPTION" dataDxfId="99" totalsRowDxfId="98"/>
    <tableColumn id="7" xr3:uid="{3521E41D-43B1-4A96-BE52-DC592AA0FAAF}" name="APP TYPE" dataDxfId="97" totalsRowDxfId="96"/>
    <tableColumn id="8" xr3:uid="{8A9E8304-306A-4468-8F81-19E76368B102}" name="RESOURCE GROUP" dataDxfId="95" totalsRowDxfId="94"/>
    <tableColumn id="9" xr3:uid="{7A535D03-8516-4D0F-BA1F-BDFF2E0B4476}" name="PVP Aprox. Mensual" totalsRowFunction="custom" dataDxfId="93" totalsRowDxfId="92">
      <totalsRowFormula>+I2+I3+I4+I7+I9+I10+I11</totalsRowFormula>
    </tableColumn>
    <tableColumn id="10" xr3:uid="{162E9F8E-C485-4591-B039-A1E499B15110}" name="PVP Aprox IR Mensual" totalsRowFunction="custom" dataDxfId="91" totalsRowDxfId="90">
      <totalsRowFormula>+J2+J3+J4+J7+KJ9+J10+J11</totalsRowFormula>
    </tableColumn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8A2D184-A001-4CF3-961B-C5912D3A6611}" name="Tabla8" displayName="Tabla8" ref="A1:H37" totalsRowCount="1" headerRowDxfId="89" dataDxfId="88">
  <autoFilter ref="A1:H36" xr:uid="{B8A2D184-A001-4CF3-961B-C5912D3A6611}">
    <filterColumn colId="3">
      <filters>
        <filter val="-"/>
      </filters>
    </filterColumn>
  </autoFilter>
  <tableColumns count="8">
    <tableColumn id="1" xr3:uid="{2752A789-DE7C-4D13-BCA5-2ED1DF216F19}" name="NAME" dataDxfId="87" totalsRowDxfId="86"/>
    <tableColumn id="2" xr3:uid="{459CE8E5-23C7-4BDF-AA26-F68B38E94F3A}" name="STORAGE ACCOUNT TYPE" dataDxfId="85" totalsRowDxfId="84"/>
    <tableColumn id="3" xr3:uid="{FAC89EF0-C5BE-471A-A2CB-7702E7AF5817}" name="SIZE (GIB)" dataDxfId="83" totalsRowDxfId="82"/>
    <tableColumn id="4" xr3:uid="{EBD8D500-E769-454C-A0CC-DD3CA3373427}" name="OWNER" dataDxfId="81" totalsRowDxfId="80"/>
    <tableColumn id="5" xr3:uid="{248C8C77-A752-48C2-B5B3-D5C099BD8D3C}" name="RESOURCE GROUP" dataDxfId="79" totalsRowDxfId="78"/>
    <tableColumn id="6" xr3:uid="{14DEC427-1B6D-4911-AC42-A09B509E1CDC}" name="LOCATION" dataDxfId="77" totalsRowDxfId="76"/>
    <tableColumn id="7" xr3:uid="{AC409944-47FB-4B8A-A040-57399E414AEF}" name="TIME CREATED" dataDxfId="75" totalsRowDxfId="74"/>
    <tableColumn id="8" xr3:uid="{4CDCC6C9-425E-4AA0-A99D-863D59C9FF5B}" name="PVP Aprox Mensual" totalsRowFunction="custom" dataDxfId="73" totalsRowDxfId="72">
      <totalsRowFormula>+H7+H8+H9+H11+H12+H14+H16+H20+H18+H28</totalsRow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24F1D5A-B40F-4743-9327-5C34FE05417B}" name="Tabla10" displayName="Tabla10" ref="A1:J5" totalsRowCount="1" headerRowDxfId="71" dataDxfId="70" totalsRowDxfId="69">
  <autoFilter ref="A1:J4" xr:uid="{224F1D5A-B40F-4743-9327-5C34FE05417B}"/>
  <tableColumns count="10">
    <tableColumn id="1" xr3:uid="{91630A15-7EF4-480E-BF16-C81FD9A98C73}" name="SERVIDOR" dataDxfId="68" totalsRowDxfId="67"/>
    <tableColumn id="2" xr3:uid="{5C858345-82CC-405F-A246-875F8C169D80}" name="SUBSCRIPTION" dataDxfId="66" totalsRowDxfId="65"/>
    <tableColumn id="3" xr3:uid="{116EB05E-C976-4997-8176-32EFFED95F5F}" name="RESOURCE GROUP" dataDxfId="64" totalsRowDxfId="63"/>
    <tableColumn id="4" xr3:uid="{9B9DC016-B2F9-458B-B494-92C53BD45C00}" name="LOCATION" dataDxfId="62" totalsRowDxfId="61"/>
    <tableColumn id="5" xr3:uid="{7A8E69D6-853E-4329-8DDB-D5A96F8C84E4}" name="STATUS" dataDxfId="60" totalsRowDxfId="59"/>
    <tableColumn id="6" xr3:uid="{9D72DAFC-ABCD-4F8B-8AF5-F4907D5078B8}" name="OPERATING SYSTEM" dataDxfId="58" totalsRowDxfId="57"/>
    <tableColumn id="7" xr3:uid="{0BFC3861-A27C-4F82-ACAE-20E71DF5C78C}" name="SIZE" dataDxfId="56" totalsRowDxfId="55"/>
    <tableColumn id="8" xr3:uid="{D4E44D12-61A1-4F72-8A5E-7FAA4CB9BCDB}" name="DISKS" dataDxfId="54" totalsRowDxfId="53"/>
    <tableColumn id="9" xr3:uid="{014E9183-00A4-4845-816F-8F3CC1E6F9C6}" name="Tamaño" dataDxfId="52" totalsRowDxfId="51"/>
    <tableColumn id="10" xr3:uid="{9C3B7F5D-6EFC-4437-95ED-7B4CD306C9B6}" name="PVP Aprox. Mens." totalsRowFunction="custom" dataDxfId="50" totalsRowDxfId="49" dataCellStyle="Moneda" totalsRowCellStyle="Moneda">
      <totalsRowFormula>SUM(J2:J4)</totalsRowFormula>
    </tableColumn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C5E60FE-D597-4E62-B2CF-3864F621444B}" name="Tabla9" displayName="Tabla9" ref="A2:H10" totalsRowCount="1">
  <autoFilter ref="A2:H9" xr:uid="{AC5E60FE-D597-4E62-B2CF-3864F621444B}"/>
  <tableColumns count="8">
    <tableColumn id="1" xr3:uid="{1DD9C79D-867C-468D-840A-2E8D2B956B0D}" name="Nombre VMs"/>
    <tableColumn id="2" xr3:uid="{2CE69A46-3EE6-414D-B0E9-E14EFB4DBA20}" name="Instancia"/>
    <tableColumn id="3" xr3:uid="{6763FFB6-0B20-472B-8B61-ACCBC934E8A7}" name="Región"/>
    <tableColumn id="4" xr3:uid="{9F12FC50-5AAA-445E-914A-C063C487C0E5}" name="Suscripción"/>
    <tableColumn id="5" xr3:uid="{98D70953-ADD3-4C16-B133-624D8DBD4630}" name="Plantillas"/>
    <tableColumn id="6" xr3:uid="{9979583D-97F4-4F30-AF3F-C7FD3E6D70D5}" name="PVP Aprox. Mensual unidad" totalsRowDxfId="2" dataCellStyle="Moneda" totalsRowCellStyle="Moneda"/>
    <tableColumn id="7" xr3:uid="{161EB1A3-888E-4897-BE7B-F1174B042198}" name="PVP Aprox # Instancia" totalsRowFunction="custom" totalsRowDxfId="1" dataCellStyle="Moneda" totalsRowCellStyle="Moneda">
      <calculatedColumnFormula>+Tabla9[[#This Row],[PVP Aprox. Mensual unidad]]*Tabla9[[#This Row],[Instancia]]</calculatedColumnFormula>
      <totalsRowFormula>SUM(G3:G9)</totalsRowFormula>
    </tableColumn>
    <tableColumn id="8" xr3:uid="{A08E2126-041C-49E2-B0B2-26AB51208F3E}" name="PVP Aprox. IR" totalsRowFunction="custom" totalsRowDxfId="0" dataCellStyle="Moneda" totalsRowCellStyle="Moneda">
      <totalsRowFormula>SUM(H3:H9)</totalsRow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7A8C867-BFD9-4720-97C6-220A71958D3A}" name="Tabla7" displayName="Tabla7" ref="A1:J11" totalsRowCount="1" headerRowDxfId="48" dataDxfId="47">
  <autoFilter ref="A1:J10" xr:uid="{E7A8C867-BFD9-4720-97C6-220A71958D3A}"/>
  <sortState xmlns:xlrd2="http://schemas.microsoft.com/office/spreadsheetml/2017/richdata2" ref="A2:I10">
    <sortCondition ref="F1:F10"/>
  </sortState>
  <tableColumns count="10">
    <tableColumn id="1" xr3:uid="{8EC05FEC-FC3F-4192-9DB1-6EA15AA1CA09}" name="NAME" dataDxfId="46" totalsRowDxfId="45"/>
    <tableColumn id="2" xr3:uid="{7959F6CF-6279-4FC1-8FE6-8937A5D35AA3}" name="TYPE" dataDxfId="44" totalsRowDxfId="43"/>
    <tableColumn id="3" xr3:uid="{22FED447-6996-4993-91C0-E2FCE56232AF}" name="STATUS" dataDxfId="42" totalsRowDxfId="41"/>
    <tableColumn id="4" xr3:uid="{F84FA081-3E32-4285-A543-E16B62BEC246}" name="HIGH AVAILABILITY" dataDxfId="40" totalsRowDxfId="39"/>
    <tableColumn id="5" xr3:uid="{F202299C-B85D-4D1C-ABB5-A3B74C1EE51B}" name="RESOURCE GROUP" dataDxfId="38" totalsRowDxfId="37"/>
    <tableColumn id="6" xr3:uid="{147F0EC6-1FFE-4F5B-8B6B-41980A94A604}" name="LOCATION" dataDxfId="36" totalsRowDxfId="35"/>
    <tableColumn id="7" xr3:uid="{A74F923E-75D4-460C-9A0B-96A61ACCB55D}" name="SUBSCRIPTION" dataDxfId="34" totalsRowDxfId="33"/>
    <tableColumn id="8" xr3:uid="{AC178554-A14D-4A11-A200-5B9DB953429A}" name="VERSION" dataDxfId="32" totalsRowDxfId="31"/>
    <tableColumn id="9" xr3:uid="{BA6FEF7F-2C72-4B06-90D8-1E96EF197DA5}" name="PVP Aprom. Mens." totalsRowFunction="custom" dataDxfId="30" totalsRowDxfId="29" dataCellStyle="Moneda" totalsRowCellStyle="Moneda">
      <totalsRowFormula>SUM(I2:I10)</totalsRowFormula>
    </tableColumn>
    <tableColumn id="10" xr3:uid="{FE401370-3D49-4059-BBFF-89A5387ED5F1}" name="PVP Aprox IR Mens." totalsRowFunction="custom" dataDxfId="28" totalsRowDxfId="27" dataCellStyle="Moneda" totalsRowCellStyle="Moneda">
      <totalsRowFormula>SUM(J2:J10)</totalsRowFormula>
    </tableColumn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B137B53-C903-442A-955B-83556B07B33A}" name="Tabla5" displayName="Tabla5" ref="A1:F6" totalsRowShown="0" headerRowDxfId="26" dataDxfId="25">
  <autoFilter ref="A1:F6" xr:uid="{3B137B53-C903-442A-955B-83556B07B33A}"/>
  <tableColumns count="6">
    <tableColumn id="1" xr3:uid="{F34BBB2E-80B0-42E7-8A1C-0EFE5FAA68D9}" name="NAME" dataDxfId="24"/>
    <tableColumn id="2" xr3:uid="{EC5F0183-E633-4EED-9CD2-24D640244C93}" name="TYPE" dataDxfId="23"/>
    <tableColumn id="3" xr3:uid="{30B75F9C-28A0-42D9-8DCE-BD1D5C99E74A}" name="RESOURCE GROUP" dataDxfId="22"/>
    <tableColumn id="4" xr3:uid="{52D4485D-D8BE-4336-BDCB-8E62DEF42EC7}" name="KUBERNETES VERSION" dataDxfId="21"/>
    <tableColumn id="5" xr3:uid="{715E36EE-103A-48F2-A5D0-3E198053F9B7}" name="LOCATION" dataDxfId="20"/>
    <tableColumn id="6" xr3:uid="{758A9486-03AD-40A4-A4CB-DD49BDD5C92F}" name="SUBSCRIPTION" dataDxfId="1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24B3205-CF05-4BC7-A5DA-CA8531A5205F}" name="Tabla6" displayName="Tabla6" ref="A1:E15" totalsRowShown="0" headerRowDxfId="18" dataDxfId="17">
  <autoFilter ref="A1:E15" xr:uid="{824B3205-CF05-4BC7-A5DA-CA8531A5205F}">
    <filterColumn colId="1">
      <filters>
        <filter val="Buy virtual machine reserved instances to save money over pay-as-you-go costs"/>
      </filters>
    </filterColumn>
  </autoFilter>
  <tableColumns count="5">
    <tableColumn id="1" xr3:uid="{D87F8F28-C02E-4330-802A-683428397840}" name="Business Impact" dataDxfId="16"/>
    <tableColumn id="2" xr3:uid="{64DD2450-9725-4B16-BA76-D52BD655B985}" name="Recommendation" dataDxfId="15"/>
    <tableColumn id="3" xr3:uid="{0ECBB9C6-A0B1-463E-9810-3D69A4B406A3}" name="Subscription Name" dataDxfId="14"/>
    <tableColumn id="4" xr3:uid="{9FBDF12F-75A6-4947-94E8-2D09ABE84C4B}" name="Resource Name" dataDxfId="13"/>
    <tableColumn id="5" xr3:uid="{8676B96B-4D91-452C-A499-1464E9E92A0B}" name="Resource Type" dataDxfId="12"/>
  </tableColumns>
  <tableStyleInfo name="TableStyleLight2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6FFCB8-7D53-4221-8E07-FA27A824DE76}" name="Tabla4" displayName="Tabla4" ref="A1:G32" totalsRowShown="0" headerRowDxfId="11" dataDxfId="10">
  <autoFilter ref="A1:G32" xr:uid="{D56FFCB8-7D53-4221-8E07-FA27A824DE76}"/>
  <tableColumns count="7">
    <tableColumn id="1" xr3:uid="{B476E1A2-A4D5-484B-9425-A8271C9292D1}" name="NAME" dataDxfId="9"/>
    <tableColumn id="2" xr3:uid="{4BF79A5E-631E-4D30-8D7A-0180F3D66D1F}" name="PRICING TIER" dataDxfId="8"/>
    <tableColumn id="3" xr3:uid="{24101A15-81B2-4BFE-98BC-1BECBADB5A3D}" name="SERVICE TYPE" dataDxfId="7"/>
    <tableColumn id="4" xr3:uid="{2C8D3558-83C8-4C38-A151-49462B098876}" name="RESOURCE ID" dataDxfId="6"/>
    <tableColumn id="5" xr3:uid="{08454DFC-4354-4160-B420-D515DB804870}" name="SUBSCRIPTION" dataDxfId="5"/>
    <tableColumn id="6" xr3:uid="{1287BF37-F72E-42DD-A41D-6F0A58F93945}" name="RESOURCE GROUP" dataDxfId="4"/>
    <tableColumn id="7" xr3:uid="{C2B574E3-88C2-467E-9D81-BC4B72E59628}" name="SQUAD (TAG)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ECE3E-8F53-4BD3-B2A3-0F72953DADE9}">
  <dimension ref="A1:M15"/>
  <sheetViews>
    <sheetView showGridLines="0" topLeftCell="B1" workbookViewId="0">
      <selection activeCell="G24" sqref="G24"/>
    </sheetView>
  </sheetViews>
  <sheetFormatPr baseColWidth="10" defaultRowHeight="10.5" x14ac:dyDescent="0.15"/>
  <cols>
    <col min="1" max="1" width="20.85546875" style="1" bestFit="1" customWidth="1"/>
    <col min="2" max="2" width="17.140625" style="1" bestFit="1" customWidth="1"/>
    <col min="3" max="3" width="17" style="1" customWidth="1"/>
    <col min="4" max="4" width="11.42578125" style="1"/>
    <col min="5" max="5" width="17.28515625" style="1" bestFit="1" customWidth="1"/>
    <col min="6" max="6" width="17.7109375" style="1" customWidth="1"/>
    <col min="7" max="7" width="44.140625" style="1" customWidth="1"/>
    <col min="8" max="8" width="14.85546875" style="1" customWidth="1"/>
    <col min="9" max="9" width="0" style="2" hidden="1" customWidth="1"/>
    <col min="10" max="10" width="26.42578125" style="1" hidden="1" customWidth="1"/>
    <col min="11" max="11" width="41.140625" style="1" customWidth="1"/>
    <col min="12" max="16384" width="11.42578125" style="1"/>
  </cols>
  <sheetData>
    <row r="1" spans="1:13" x14ac:dyDescent="0.15">
      <c r="A1" s="1" t="s">
        <v>29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334</v>
      </c>
      <c r="I1" s="2" t="s">
        <v>7</v>
      </c>
      <c r="J1" s="1" t="s">
        <v>8</v>
      </c>
      <c r="K1" s="1" t="s">
        <v>332</v>
      </c>
      <c r="L1" s="1" t="s">
        <v>335</v>
      </c>
      <c r="M1" s="1" t="s">
        <v>336</v>
      </c>
    </row>
    <row r="2" spans="1:13" x14ac:dyDescent="0.1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328</v>
      </c>
      <c r="H2" s="3">
        <v>47.45</v>
      </c>
      <c r="I2" s="2">
        <v>1</v>
      </c>
      <c r="J2" s="1" t="s">
        <v>15</v>
      </c>
      <c r="K2" s="1" t="s">
        <v>333</v>
      </c>
      <c r="L2" s="3">
        <v>36.26</v>
      </c>
      <c r="M2" s="3">
        <v>23.64</v>
      </c>
    </row>
    <row r="3" spans="1:13" x14ac:dyDescent="0.15">
      <c r="A3" s="1" t="s">
        <v>23</v>
      </c>
      <c r="B3" s="1" t="s">
        <v>17</v>
      </c>
      <c r="C3" s="1" t="s">
        <v>18</v>
      </c>
      <c r="D3" s="1" t="s">
        <v>19</v>
      </c>
      <c r="E3" s="1" t="s">
        <v>13</v>
      </c>
      <c r="F3" s="1" t="s">
        <v>14</v>
      </c>
      <c r="G3" s="1" t="s">
        <v>329</v>
      </c>
      <c r="H3" s="3">
        <v>140.21</v>
      </c>
      <c r="I3" s="2">
        <v>1</v>
      </c>
      <c r="J3" s="1" t="s">
        <v>24</v>
      </c>
      <c r="L3" s="3">
        <v>140.21</v>
      </c>
      <c r="M3" s="3">
        <v>121.38</v>
      </c>
    </row>
    <row r="4" spans="1:13" x14ac:dyDescent="0.15">
      <c r="A4" s="1" t="s">
        <v>26</v>
      </c>
      <c r="B4" s="1" t="s">
        <v>17</v>
      </c>
      <c r="C4" s="1" t="s">
        <v>18</v>
      </c>
      <c r="D4" s="1" t="s">
        <v>19</v>
      </c>
      <c r="E4" s="1" t="s">
        <v>13</v>
      </c>
      <c r="F4" s="1" t="s">
        <v>14</v>
      </c>
      <c r="G4" s="1" t="s">
        <v>327</v>
      </c>
      <c r="H4" s="3">
        <v>274.52999999999997</v>
      </c>
      <c r="I4" s="2">
        <v>5</v>
      </c>
      <c r="J4" s="1" t="s">
        <v>15</v>
      </c>
      <c r="L4" s="3">
        <v>274.52999999999997</v>
      </c>
      <c r="M4" s="3">
        <v>217.96</v>
      </c>
    </row>
    <row r="5" spans="1:13" x14ac:dyDescent="0.15">
      <c r="A5" s="1" t="s">
        <v>27</v>
      </c>
      <c r="B5" s="1" t="s">
        <v>17</v>
      </c>
      <c r="C5" s="1" t="s">
        <v>18</v>
      </c>
      <c r="D5" s="1" t="s">
        <v>19</v>
      </c>
      <c r="E5" s="1" t="s">
        <v>13</v>
      </c>
      <c r="F5" s="1" t="s">
        <v>21</v>
      </c>
      <c r="G5" s="1" t="s">
        <v>330</v>
      </c>
      <c r="H5" s="3">
        <v>113.88</v>
      </c>
      <c r="I5" s="2">
        <v>1</v>
      </c>
      <c r="J5" s="1" t="s">
        <v>15</v>
      </c>
      <c r="L5" s="3">
        <v>113.88</v>
      </c>
      <c r="M5" s="3">
        <v>85.69</v>
      </c>
    </row>
    <row r="6" spans="1:13" x14ac:dyDescent="0.15">
      <c r="A6" s="1" t="s">
        <v>28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328</v>
      </c>
      <c r="H6" s="3">
        <v>47.45</v>
      </c>
      <c r="I6" s="2">
        <v>1</v>
      </c>
      <c r="J6" s="1" t="s">
        <v>15</v>
      </c>
      <c r="K6" s="1" t="s">
        <v>333</v>
      </c>
      <c r="L6" s="3">
        <v>36.26</v>
      </c>
      <c r="M6" s="3">
        <v>23.64</v>
      </c>
    </row>
    <row r="7" spans="1:13" ht="15" x14ac:dyDescent="0.25">
      <c r="H7" s="4">
        <f>SUM(H2:H6)</f>
        <v>623.52</v>
      </c>
      <c r="L7" s="4">
        <f>SUM(L2:L6)</f>
        <v>601.14</v>
      </c>
      <c r="M7" s="6">
        <f>SUM(M2:M6)</f>
        <v>472.31</v>
      </c>
    </row>
    <row r="8" spans="1:13" x14ac:dyDescent="0.15">
      <c r="L8" s="4">
        <f>+Tabla1[[#Totals],[PVP Aprox Men.]]-Tabla1[[#Totals],[PVP aprox Men.2]]</f>
        <v>22.379999999999995</v>
      </c>
      <c r="M8" s="4">
        <f>+Tabla1[[#Totals],[PVP Aprox Men.]]-Tabla1[[#Totals],[IR]]</f>
        <v>151.20999999999998</v>
      </c>
    </row>
    <row r="9" spans="1:13" x14ac:dyDescent="0.15">
      <c r="L9" s="5">
        <f>+L8/Tabla1[[#Totals],[PVP Aprox Men.]]</f>
        <v>3.5892994611239411E-2</v>
      </c>
      <c r="M9" s="5">
        <f>+M8/Tabla1[[#Totals],[PVP Aprox Men.]]</f>
        <v>0.2425102643058763</v>
      </c>
    </row>
    <row r="11" spans="1:13" x14ac:dyDescent="0.15">
      <c r="G11" s="1" t="s">
        <v>349</v>
      </c>
      <c r="H11" s="1" t="s">
        <v>350</v>
      </c>
    </row>
    <row r="12" spans="1:13" x14ac:dyDescent="0.15">
      <c r="G12" s="1" t="s">
        <v>333</v>
      </c>
      <c r="H12" s="1">
        <v>2</v>
      </c>
    </row>
    <row r="13" spans="1:13" x14ac:dyDescent="0.15">
      <c r="G13" s="1" t="s">
        <v>329</v>
      </c>
      <c r="H13" s="1">
        <v>1</v>
      </c>
    </row>
    <row r="14" spans="1:13" x14ac:dyDescent="0.15">
      <c r="G14" s="1" t="s">
        <v>327</v>
      </c>
      <c r="H14" s="1">
        <v>1</v>
      </c>
    </row>
    <row r="15" spans="1:13" x14ac:dyDescent="0.15">
      <c r="G15" s="1" t="s">
        <v>330</v>
      </c>
      <c r="H15" s="1">
        <v>1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FC83E-B3DF-4C0E-AF6D-3186E842E9B9}">
  <dimension ref="A1:E32"/>
  <sheetViews>
    <sheetView showGridLines="0" workbookViewId="0">
      <selection activeCell="C50" sqref="C50"/>
    </sheetView>
  </sheetViews>
  <sheetFormatPr baseColWidth="10" defaultRowHeight="10.5" x14ac:dyDescent="0.15"/>
  <cols>
    <col min="1" max="1" width="28.42578125" style="1" customWidth="1"/>
    <col min="2" max="2" width="16.140625" style="1" customWidth="1"/>
    <col min="3" max="3" width="13.85546875" style="1" customWidth="1"/>
    <col min="4" max="4" width="11.42578125" style="1"/>
    <col min="5" max="5" width="16.5703125" style="1" customWidth="1"/>
    <col min="6" max="16384" width="11.42578125" style="1"/>
  </cols>
  <sheetData>
    <row r="1" spans="1:5" x14ac:dyDescent="0.15">
      <c r="A1" s="1" t="s">
        <v>0</v>
      </c>
      <c r="B1" s="1" t="s">
        <v>2</v>
      </c>
      <c r="C1" s="1" t="s">
        <v>30</v>
      </c>
      <c r="D1" s="1" t="s">
        <v>31</v>
      </c>
      <c r="E1" s="1" t="s">
        <v>337</v>
      </c>
    </row>
    <row r="2" spans="1:5" hidden="1" x14ac:dyDescent="0.15">
      <c r="A2" s="1" t="s">
        <v>32</v>
      </c>
      <c r="B2" s="1" t="s">
        <v>33</v>
      </c>
      <c r="C2" s="1" t="s">
        <v>34</v>
      </c>
      <c r="D2" s="1" t="s">
        <v>35</v>
      </c>
    </row>
    <row r="3" spans="1:5" hidden="1" x14ac:dyDescent="0.15">
      <c r="A3" s="1" t="s">
        <v>36</v>
      </c>
      <c r="B3" s="1" t="s">
        <v>37</v>
      </c>
      <c r="C3" s="1" t="s">
        <v>34</v>
      </c>
      <c r="D3" s="1" t="s">
        <v>35</v>
      </c>
    </row>
    <row r="4" spans="1:5" hidden="1" x14ac:dyDescent="0.15">
      <c r="A4" s="1" t="s">
        <v>38</v>
      </c>
      <c r="B4" s="1" t="s">
        <v>39</v>
      </c>
      <c r="C4" s="1" t="s">
        <v>34</v>
      </c>
      <c r="D4" s="1" t="s">
        <v>35</v>
      </c>
    </row>
    <row r="5" spans="1:5" hidden="1" x14ac:dyDescent="0.15">
      <c r="A5" s="1" t="s">
        <v>40</v>
      </c>
      <c r="B5" s="1" t="s">
        <v>11</v>
      </c>
      <c r="C5" s="1" t="s">
        <v>41</v>
      </c>
      <c r="D5" s="1" t="s">
        <v>42</v>
      </c>
    </row>
    <row r="6" spans="1:5" hidden="1" x14ac:dyDescent="0.15">
      <c r="A6" s="1" t="s">
        <v>43</v>
      </c>
      <c r="B6" s="1" t="s">
        <v>44</v>
      </c>
      <c r="C6" s="1" t="s">
        <v>34</v>
      </c>
      <c r="D6" s="1" t="s">
        <v>35</v>
      </c>
    </row>
    <row r="7" spans="1:5" hidden="1" x14ac:dyDescent="0.15">
      <c r="A7" s="1" t="s">
        <v>45</v>
      </c>
      <c r="B7" s="1" t="s">
        <v>11</v>
      </c>
      <c r="C7" s="1" t="s">
        <v>46</v>
      </c>
      <c r="D7" s="1" t="s">
        <v>42</v>
      </c>
    </row>
    <row r="8" spans="1:5" hidden="1" x14ac:dyDescent="0.15">
      <c r="A8" s="1" t="s">
        <v>47</v>
      </c>
      <c r="B8" s="1" t="s">
        <v>11</v>
      </c>
      <c r="C8" s="1" t="s">
        <v>48</v>
      </c>
      <c r="D8" s="1" t="s">
        <v>42</v>
      </c>
    </row>
    <row r="9" spans="1:5" hidden="1" x14ac:dyDescent="0.15">
      <c r="A9" s="1" t="s">
        <v>49</v>
      </c>
      <c r="B9" s="1" t="s">
        <v>11</v>
      </c>
      <c r="C9" s="1" t="s">
        <v>50</v>
      </c>
      <c r="D9" s="1" t="s">
        <v>42</v>
      </c>
    </row>
    <row r="10" spans="1:5" hidden="1" x14ac:dyDescent="0.15">
      <c r="A10" s="1" t="s">
        <v>51</v>
      </c>
      <c r="B10" s="1" t="s">
        <v>52</v>
      </c>
      <c r="C10" s="1" t="s">
        <v>34</v>
      </c>
      <c r="D10" s="1" t="s">
        <v>35</v>
      </c>
    </row>
    <row r="11" spans="1:5" hidden="1" x14ac:dyDescent="0.15">
      <c r="A11" s="1" t="s">
        <v>53</v>
      </c>
      <c r="B11" s="1" t="s">
        <v>53</v>
      </c>
      <c r="C11" s="1" t="s">
        <v>53</v>
      </c>
      <c r="D11" s="1" t="s">
        <v>42</v>
      </c>
    </row>
    <row r="12" spans="1:5" hidden="1" x14ac:dyDescent="0.15">
      <c r="A12" s="1" t="s">
        <v>54</v>
      </c>
      <c r="B12" s="1" t="s">
        <v>39</v>
      </c>
      <c r="C12" s="1" t="s">
        <v>34</v>
      </c>
      <c r="D12" s="1" t="s">
        <v>35</v>
      </c>
    </row>
    <row r="13" spans="1:5" hidden="1" x14ac:dyDescent="0.15">
      <c r="A13" s="1" t="s">
        <v>55</v>
      </c>
      <c r="B13" s="1" t="s">
        <v>44</v>
      </c>
      <c r="C13" s="1" t="s">
        <v>34</v>
      </c>
      <c r="D13" s="1" t="s">
        <v>35</v>
      </c>
    </row>
    <row r="14" spans="1:5" hidden="1" x14ac:dyDescent="0.15">
      <c r="A14" s="1" t="s">
        <v>56</v>
      </c>
      <c r="B14" s="1" t="s">
        <v>39</v>
      </c>
      <c r="C14" s="1" t="s">
        <v>34</v>
      </c>
      <c r="D14" s="1" t="s">
        <v>35</v>
      </c>
    </row>
    <row r="15" spans="1:5" hidden="1" x14ac:dyDescent="0.15">
      <c r="A15" s="1" t="s">
        <v>57</v>
      </c>
      <c r="B15" s="1" t="s">
        <v>33</v>
      </c>
      <c r="C15" s="1" t="s">
        <v>34</v>
      </c>
      <c r="D15" s="1" t="s">
        <v>35</v>
      </c>
    </row>
    <row r="16" spans="1:5" hidden="1" x14ac:dyDescent="0.15">
      <c r="A16" s="1" t="s">
        <v>58</v>
      </c>
      <c r="B16" s="1" t="s">
        <v>37</v>
      </c>
      <c r="C16" s="1" t="s">
        <v>34</v>
      </c>
      <c r="D16" s="1" t="s">
        <v>35</v>
      </c>
    </row>
    <row r="17" spans="1:5" hidden="1" x14ac:dyDescent="0.15">
      <c r="A17" s="1" t="s">
        <v>59</v>
      </c>
      <c r="B17" s="1" t="s">
        <v>39</v>
      </c>
      <c r="C17" s="1" t="s">
        <v>34</v>
      </c>
      <c r="D17" s="1" t="s">
        <v>35</v>
      </c>
    </row>
    <row r="18" spans="1:5" hidden="1" x14ac:dyDescent="0.15">
      <c r="A18" s="1" t="s">
        <v>60</v>
      </c>
      <c r="B18" s="1" t="s">
        <v>37</v>
      </c>
      <c r="C18" s="1" t="s">
        <v>34</v>
      </c>
      <c r="D18" s="1" t="s">
        <v>35</v>
      </c>
    </row>
    <row r="19" spans="1:5" hidden="1" x14ac:dyDescent="0.15">
      <c r="A19" s="1" t="s">
        <v>61</v>
      </c>
      <c r="B19" s="1" t="s">
        <v>44</v>
      </c>
      <c r="C19" s="1" t="s">
        <v>34</v>
      </c>
      <c r="D19" s="1" t="s">
        <v>35</v>
      </c>
    </row>
    <row r="20" spans="1:5" hidden="1" x14ac:dyDescent="0.15">
      <c r="A20" s="1" t="s">
        <v>62</v>
      </c>
      <c r="B20" s="1" t="s">
        <v>39</v>
      </c>
      <c r="C20" s="1" t="s">
        <v>34</v>
      </c>
      <c r="D20" s="1" t="s">
        <v>35</v>
      </c>
    </row>
    <row r="21" spans="1:5" hidden="1" x14ac:dyDescent="0.15">
      <c r="A21" s="1" t="s">
        <v>63</v>
      </c>
      <c r="B21" s="1" t="s">
        <v>39</v>
      </c>
      <c r="C21" s="1" t="s">
        <v>34</v>
      </c>
      <c r="D21" s="1" t="s">
        <v>35</v>
      </c>
    </row>
    <row r="22" spans="1:5" hidden="1" x14ac:dyDescent="0.15">
      <c r="A22" s="1" t="s">
        <v>64</v>
      </c>
      <c r="B22" s="1" t="s">
        <v>52</v>
      </c>
      <c r="C22" s="1" t="s">
        <v>34</v>
      </c>
      <c r="D22" s="1" t="s">
        <v>35</v>
      </c>
    </row>
    <row r="23" spans="1:5" hidden="1" x14ac:dyDescent="0.15">
      <c r="A23" s="1" t="s">
        <v>65</v>
      </c>
      <c r="B23" s="1" t="s">
        <v>39</v>
      </c>
      <c r="C23" s="1" t="s">
        <v>34</v>
      </c>
      <c r="D23" s="1" t="s">
        <v>35</v>
      </c>
    </row>
    <row r="24" spans="1:5" x14ac:dyDescent="0.15">
      <c r="A24" s="1" t="s">
        <v>66</v>
      </c>
      <c r="B24" s="1" t="s">
        <v>67</v>
      </c>
      <c r="C24" s="1" t="s">
        <v>68</v>
      </c>
      <c r="D24" s="1" t="s">
        <v>42</v>
      </c>
      <c r="E24" s="3">
        <v>2.63</v>
      </c>
    </row>
    <row r="25" spans="1:5" x14ac:dyDescent="0.15">
      <c r="A25" s="1" t="s">
        <v>69</v>
      </c>
      <c r="B25" s="1" t="s">
        <v>67</v>
      </c>
      <c r="C25" s="1" t="s">
        <v>68</v>
      </c>
      <c r="D25" s="1" t="s">
        <v>42</v>
      </c>
      <c r="E25" s="3">
        <v>2.63</v>
      </c>
    </row>
    <row r="26" spans="1:5" hidden="1" x14ac:dyDescent="0.15">
      <c r="A26" s="1" t="s">
        <v>70</v>
      </c>
      <c r="B26" s="1" t="s">
        <v>18</v>
      </c>
      <c r="C26" s="1" t="s">
        <v>71</v>
      </c>
      <c r="D26" s="1" t="s">
        <v>42</v>
      </c>
    </row>
    <row r="27" spans="1:5" hidden="1" x14ac:dyDescent="0.15">
      <c r="A27" s="1" t="s">
        <v>72</v>
      </c>
      <c r="B27" s="1" t="s">
        <v>73</v>
      </c>
      <c r="C27" s="1" t="s">
        <v>74</v>
      </c>
      <c r="D27" s="1" t="s">
        <v>42</v>
      </c>
    </row>
    <row r="28" spans="1:5" hidden="1" x14ac:dyDescent="0.15">
      <c r="A28" s="1" t="s">
        <v>75</v>
      </c>
      <c r="B28" s="1" t="s">
        <v>73</v>
      </c>
      <c r="C28" s="1" t="s">
        <v>76</v>
      </c>
      <c r="D28" s="1" t="s">
        <v>42</v>
      </c>
    </row>
    <row r="29" spans="1:5" hidden="1" x14ac:dyDescent="0.15">
      <c r="A29" s="1" t="s">
        <v>77</v>
      </c>
      <c r="B29" s="1" t="s">
        <v>18</v>
      </c>
      <c r="C29" s="1" t="s">
        <v>78</v>
      </c>
      <c r="D29" s="1" t="s">
        <v>35</v>
      </c>
    </row>
    <row r="30" spans="1:5" x14ac:dyDescent="0.15">
      <c r="A30" s="1" t="s">
        <v>79</v>
      </c>
      <c r="B30" s="1" t="s">
        <v>11</v>
      </c>
      <c r="C30" s="1" t="s">
        <v>68</v>
      </c>
      <c r="D30" s="1" t="s">
        <v>35</v>
      </c>
      <c r="E30" s="3">
        <v>3.65</v>
      </c>
    </row>
    <row r="31" spans="1:5" x14ac:dyDescent="0.15">
      <c r="A31" s="1" t="s">
        <v>80</v>
      </c>
      <c r="B31" s="1" t="s">
        <v>73</v>
      </c>
      <c r="C31" s="1" t="s">
        <v>68</v>
      </c>
      <c r="D31" s="1" t="s">
        <v>42</v>
      </c>
      <c r="E31" s="3">
        <v>2.63</v>
      </c>
    </row>
    <row r="32" spans="1:5" x14ac:dyDescent="0.15">
      <c r="E32" s="8">
        <f>+E24+E30+E31</f>
        <v>8.91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B06C7-70C4-49DC-A071-B2F22FCB289D}">
  <dimension ref="A1:J16"/>
  <sheetViews>
    <sheetView showGridLines="0" workbookViewId="0">
      <selection activeCell="D30" sqref="D30"/>
    </sheetView>
  </sheetViews>
  <sheetFormatPr baseColWidth="10" defaultRowHeight="15" x14ac:dyDescent="0.25"/>
  <cols>
    <col min="1" max="1" width="27.85546875" bestFit="1" customWidth="1"/>
    <col min="2" max="2" width="9" bestFit="1" customWidth="1"/>
    <col min="3" max="3" width="11.140625" bestFit="1" customWidth="1"/>
    <col min="4" max="4" width="13.140625" bestFit="1" customWidth="1"/>
    <col min="5" max="5" width="125" hidden="1" customWidth="1"/>
    <col min="6" max="6" width="19.28515625" customWidth="1"/>
    <col min="7" max="7" width="11" bestFit="1" customWidth="1"/>
    <col min="8" max="8" width="17" customWidth="1"/>
    <col min="9" max="9" width="17.7109375" customWidth="1"/>
    <col min="10" max="10" width="17.85546875" customWidth="1"/>
  </cols>
  <sheetData>
    <row r="1" spans="1:10" x14ac:dyDescent="0.25">
      <c r="A1" s="1" t="s">
        <v>0</v>
      </c>
      <c r="B1" s="1" t="s">
        <v>4</v>
      </c>
      <c r="C1" s="1" t="s">
        <v>3</v>
      </c>
      <c r="D1" s="1" t="s">
        <v>168</v>
      </c>
      <c r="E1" s="1" t="s">
        <v>215</v>
      </c>
      <c r="F1" s="1" t="s">
        <v>1</v>
      </c>
      <c r="G1" s="1" t="s">
        <v>216</v>
      </c>
      <c r="H1" s="1" t="s">
        <v>2</v>
      </c>
      <c r="I1" s="1" t="s">
        <v>338</v>
      </c>
      <c r="J1" s="1" t="s">
        <v>339</v>
      </c>
    </row>
    <row r="2" spans="1:10" x14ac:dyDescent="0.25">
      <c r="A2" s="1" t="s">
        <v>217</v>
      </c>
      <c r="B2" s="1" t="s">
        <v>13</v>
      </c>
      <c r="C2" s="1" t="s">
        <v>92</v>
      </c>
      <c r="D2" s="1" t="s">
        <v>218</v>
      </c>
      <c r="E2" s="1" t="s">
        <v>219</v>
      </c>
      <c r="F2" s="1" t="s">
        <v>17</v>
      </c>
      <c r="G2" s="1" t="s">
        <v>220</v>
      </c>
      <c r="H2" s="1" t="s">
        <v>73</v>
      </c>
      <c r="I2" s="3">
        <v>244.55</v>
      </c>
      <c r="J2" s="3">
        <v>182.5</v>
      </c>
    </row>
    <row r="3" spans="1:10" x14ac:dyDescent="0.25">
      <c r="A3" s="1" t="s">
        <v>221</v>
      </c>
      <c r="B3" s="1" t="s">
        <v>13</v>
      </c>
      <c r="C3" s="1" t="s">
        <v>92</v>
      </c>
      <c r="D3" s="1" t="s">
        <v>218</v>
      </c>
      <c r="E3" s="1" t="s">
        <v>219</v>
      </c>
      <c r="F3" s="1" t="s">
        <v>17</v>
      </c>
      <c r="G3" s="1" t="s">
        <v>220</v>
      </c>
      <c r="H3" s="1" t="s">
        <v>73</v>
      </c>
      <c r="I3" s="3">
        <v>244.55</v>
      </c>
      <c r="J3" s="3">
        <v>182.5</v>
      </c>
    </row>
    <row r="4" spans="1:10" x14ac:dyDescent="0.25">
      <c r="A4" s="1" t="s">
        <v>222</v>
      </c>
      <c r="B4" s="1" t="s">
        <v>13</v>
      </c>
      <c r="C4" s="1" t="s">
        <v>92</v>
      </c>
      <c r="D4" s="1" t="s">
        <v>218</v>
      </c>
      <c r="E4" s="1" t="s">
        <v>219</v>
      </c>
      <c r="F4" s="1" t="s">
        <v>17</v>
      </c>
      <c r="G4" s="1" t="s">
        <v>220</v>
      </c>
      <c r="H4" s="1" t="s">
        <v>73</v>
      </c>
      <c r="I4" s="3">
        <v>244.55</v>
      </c>
      <c r="J4" s="3">
        <v>182.5</v>
      </c>
    </row>
    <row r="5" spans="1:10" hidden="1" x14ac:dyDescent="0.25">
      <c r="A5" s="1" t="s">
        <v>223</v>
      </c>
      <c r="B5" s="1" t="s">
        <v>224</v>
      </c>
      <c r="C5" s="1" t="s">
        <v>92</v>
      </c>
      <c r="D5" s="1" t="s">
        <v>35</v>
      </c>
      <c r="E5" s="1" t="s">
        <v>225</v>
      </c>
      <c r="F5" s="1" t="s">
        <v>17</v>
      </c>
      <c r="G5" s="1" t="s">
        <v>226</v>
      </c>
      <c r="H5" s="1" t="s">
        <v>73</v>
      </c>
      <c r="I5" s="1"/>
      <c r="J5" s="1"/>
    </row>
    <row r="6" spans="1:10" hidden="1" x14ac:dyDescent="0.25">
      <c r="A6" s="1" t="s">
        <v>227</v>
      </c>
      <c r="B6" s="1" t="s">
        <v>13</v>
      </c>
      <c r="C6" s="1" t="s">
        <v>92</v>
      </c>
      <c r="D6" s="1" t="s">
        <v>228</v>
      </c>
      <c r="E6" s="1" t="s">
        <v>229</v>
      </c>
      <c r="F6" s="1" t="s">
        <v>17</v>
      </c>
      <c r="G6" s="1" t="s">
        <v>226</v>
      </c>
      <c r="H6" s="1" t="s">
        <v>73</v>
      </c>
      <c r="I6" s="1"/>
      <c r="J6" s="1"/>
    </row>
    <row r="7" spans="1:10" x14ac:dyDescent="0.25">
      <c r="A7" s="1" t="s">
        <v>230</v>
      </c>
      <c r="B7" s="1" t="s">
        <v>13</v>
      </c>
      <c r="C7" s="1" t="s">
        <v>92</v>
      </c>
      <c r="D7" s="1" t="s">
        <v>218</v>
      </c>
      <c r="E7" s="1" t="s">
        <v>219</v>
      </c>
      <c r="F7" s="1" t="s">
        <v>17</v>
      </c>
      <c r="G7" s="1" t="s">
        <v>220</v>
      </c>
      <c r="H7" s="1" t="s">
        <v>73</v>
      </c>
      <c r="I7" s="3">
        <v>244.55</v>
      </c>
      <c r="J7" s="3">
        <v>182.5</v>
      </c>
    </row>
    <row r="8" spans="1:10" hidden="1" x14ac:dyDescent="0.25">
      <c r="A8" s="1" t="s">
        <v>231</v>
      </c>
      <c r="B8" s="1" t="s">
        <v>13</v>
      </c>
      <c r="C8" s="1" t="s">
        <v>92</v>
      </c>
      <c r="D8" s="1" t="s">
        <v>35</v>
      </c>
      <c r="E8" s="1" t="s">
        <v>232</v>
      </c>
      <c r="F8" s="1" t="s">
        <v>17</v>
      </c>
      <c r="G8" s="1" t="s">
        <v>226</v>
      </c>
      <c r="H8" s="1" t="s">
        <v>233</v>
      </c>
      <c r="I8" s="1"/>
      <c r="J8" s="1"/>
    </row>
    <row r="9" spans="1:10" x14ac:dyDescent="0.25">
      <c r="A9" s="1" t="s">
        <v>234</v>
      </c>
      <c r="B9" s="1" t="s">
        <v>13</v>
      </c>
      <c r="C9" s="1" t="s">
        <v>92</v>
      </c>
      <c r="D9" s="1" t="s">
        <v>218</v>
      </c>
      <c r="E9" s="1" t="s">
        <v>219</v>
      </c>
      <c r="F9" s="1" t="s">
        <v>17</v>
      </c>
      <c r="G9" s="1" t="s">
        <v>226</v>
      </c>
      <c r="H9" s="1" t="s">
        <v>73</v>
      </c>
      <c r="I9" s="3">
        <v>244.55</v>
      </c>
      <c r="J9" s="3">
        <v>182.5</v>
      </c>
    </row>
    <row r="10" spans="1:10" x14ac:dyDescent="0.25">
      <c r="A10" s="1" t="s">
        <v>235</v>
      </c>
      <c r="B10" s="1" t="s">
        <v>13</v>
      </c>
      <c r="C10" s="1" t="s">
        <v>92</v>
      </c>
      <c r="D10" s="1" t="s">
        <v>218</v>
      </c>
      <c r="E10" s="1" t="s">
        <v>219</v>
      </c>
      <c r="F10" s="1" t="s">
        <v>17</v>
      </c>
      <c r="G10" s="1" t="s">
        <v>226</v>
      </c>
      <c r="H10" s="1" t="s">
        <v>73</v>
      </c>
      <c r="I10" s="3">
        <v>244.55</v>
      </c>
      <c r="J10" s="3">
        <v>182.5</v>
      </c>
    </row>
    <row r="11" spans="1:10" x14ac:dyDescent="0.25">
      <c r="A11" s="1" t="s">
        <v>236</v>
      </c>
      <c r="B11" s="1" t="s">
        <v>13</v>
      </c>
      <c r="C11" s="1" t="s">
        <v>92</v>
      </c>
      <c r="D11" s="1" t="s">
        <v>218</v>
      </c>
      <c r="E11" s="1" t="s">
        <v>219</v>
      </c>
      <c r="F11" s="1" t="s">
        <v>17</v>
      </c>
      <c r="G11" s="1" t="s">
        <v>220</v>
      </c>
      <c r="H11" s="1" t="s">
        <v>73</v>
      </c>
      <c r="I11" s="3">
        <v>244.55</v>
      </c>
      <c r="J11" s="3">
        <v>182.5</v>
      </c>
    </row>
    <row r="12" spans="1:10" hidden="1" x14ac:dyDescent="0.25">
      <c r="A12" s="1" t="s">
        <v>237</v>
      </c>
      <c r="B12" s="1" t="s">
        <v>13</v>
      </c>
      <c r="C12" s="1" t="s">
        <v>92</v>
      </c>
      <c r="D12" s="1" t="s">
        <v>228</v>
      </c>
      <c r="E12" s="1" t="s">
        <v>238</v>
      </c>
      <c r="F12" s="1" t="s">
        <v>17</v>
      </c>
      <c r="G12" s="1" t="s">
        <v>226</v>
      </c>
      <c r="H12" s="1" t="s">
        <v>73</v>
      </c>
      <c r="I12" s="1"/>
      <c r="J12" s="1"/>
    </row>
    <row r="13" spans="1:10" hidden="1" x14ac:dyDescent="0.25">
      <c r="A13" s="1" t="s">
        <v>239</v>
      </c>
      <c r="B13" s="1" t="s">
        <v>13</v>
      </c>
      <c r="C13" s="1" t="s">
        <v>92</v>
      </c>
      <c r="D13" s="1" t="s">
        <v>228</v>
      </c>
      <c r="E13" s="1" t="s">
        <v>240</v>
      </c>
      <c r="F13" s="1" t="s">
        <v>17</v>
      </c>
      <c r="G13" s="1" t="s">
        <v>226</v>
      </c>
      <c r="H13" s="1" t="s">
        <v>73</v>
      </c>
      <c r="I13" s="1"/>
      <c r="J13" s="1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4">
        <f>+I2+I3+I4+I7+I9+I10+I11</f>
        <v>1711.85</v>
      </c>
      <c r="J14" s="4">
        <f>+J2+J3+J4+J7+KJ9+J10+J11</f>
        <v>1095</v>
      </c>
    </row>
    <row r="15" spans="1:10" x14ac:dyDescent="0.25">
      <c r="J15" s="6">
        <f>+Tabla3[[#Totals],[PVP Aprox. Mensual]]-Tabla3[[#Totals],[PVP Aprox IR Mensual]]</f>
        <v>616.84999999999991</v>
      </c>
    </row>
    <row r="16" spans="1:10" x14ac:dyDescent="0.25">
      <c r="J16" s="7">
        <f>+J15/Tabla3[[#Totals],[PVP Aprox. Mensual]]</f>
        <v>0.36034115138592748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144F-D084-48E4-A193-746CC2075984}">
  <dimension ref="A1:J37"/>
  <sheetViews>
    <sheetView showGridLines="0" workbookViewId="0">
      <selection activeCell="A53" sqref="A53"/>
    </sheetView>
  </sheetViews>
  <sheetFormatPr baseColWidth="10" defaultRowHeight="10.5" x14ac:dyDescent="0.15"/>
  <cols>
    <col min="1" max="1" width="57.28515625" style="1" bestFit="1" customWidth="1"/>
    <col min="2" max="2" width="16.42578125" style="1" customWidth="1"/>
    <col min="3" max="3" width="9.140625" style="2" customWidth="1"/>
    <col min="4" max="4" width="10.42578125" style="1" customWidth="1"/>
    <col min="5" max="5" width="20.28515625" style="1" customWidth="1"/>
    <col min="6" max="6" width="12.42578125" style="1" customWidth="1"/>
    <col min="7" max="7" width="18" style="1" bestFit="1" customWidth="1"/>
    <col min="8" max="8" width="15.140625" style="1" customWidth="1"/>
    <col min="9" max="9" width="11.42578125" style="1"/>
    <col min="10" max="10" width="14.42578125" style="1" customWidth="1"/>
    <col min="11" max="16384" width="11.42578125" style="1"/>
  </cols>
  <sheetData>
    <row r="1" spans="1:10" x14ac:dyDescent="0.15">
      <c r="A1" s="1" t="s">
        <v>0</v>
      </c>
      <c r="B1" s="1" t="s">
        <v>259</v>
      </c>
      <c r="C1" s="2" t="s">
        <v>260</v>
      </c>
      <c r="D1" s="1" t="s">
        <v>261</v>
      </c>
      <c r="E1" s="1" t="s">
        <v>2</v>
      </c>
      <c r="F1" s="1" t="s">
        <v>3</v>
      </c>
      <c r="G1" s="1" t="s">
        <v>262</v>
      </c>
      <c r="H1" s="1" t="s">
        <v>337</v>
      </c>
      <c r="J1" s="1" t="s">
        <v>341</v>
      </c>
    </row>
    <row r="2" spans="1:10" hidden="1" x14ac:dyDescent="0.15">
      <c r="A2" s="1" t="s">
        <v>263</v>
      </c>
      <c r="B2" s="1" t="s">
        <v>264</v>
      </c>
      <c r="C2" s="1">
        <v>50</v>
      </c>
      <c r="D2" s="1" t="s">
        <v>340</v>
      </c>
      <c r="E2" s="1" t="s">
        <v>18</v>
      </c>
      <c r="F2" s="1" t="s">
        <v>19</v>
      </c>
      <c r="G2" s="1" t="s">
        <v>265</v>
      </c>
    </row>
    <row r="3" spans="1:10" hidden="1" x14ac:dyDescent="0.15">
      <c r="A3" s="1" t="s">
        <v>266</v>
      </c>
      <c r="B3" s="1" t="s">
        <v>264</v>
      </c>
      <c r="C3" s="1">
        <v>6</v>
      </c>
      <c r="D3" s="1" t="s">
        <v>340</v>
      </c>
      <c r="E3" s="1" t="s">
        <v>18</v>
      </c>
      <c r="F3" s="1" t="s">
        <v>19</v>
      </c>
      <c r="G3" s="1" t="s">
        <v>265</v>
      </c>
    </row>
    <row r="4" spans="1:10" hidden="1" x14ac:dyDescent="0.15">
      <c r="A4" s="1" t="s">
        <v>267</v>
      </c>
      <c r="B4" s="1" t="s">
        <v>264</v>
      </c>
      <c r="C4" s="1">
        <v>16</v>
      </c>
      <c r="D4" s="1" t="s">
        <v>340</v>
      </c>
      <c r="E4" s="1" t="s">
        <v>18</v>
      </c>
      <c r="F4" s="1" t="s">
        <v>19</v>
      </c>
      <c r="G4" s="1" t="s">
        <v>265</v>
      </c>
    </row>
    <row r="5" spans="1:10" hidden="1" x14ac:dyDescent="0.15">
      <c r="A5" s="1" t="s">
        <v>268</v>
      </c>
      <c r="B5" s="1" t="s">
        <v>264</v>
      </c>
      <c r="C5" s="1">
        <v>120</v>
      </c>
      <c r="D5" s="1" t="s">
        <v>340</v>
      </c>
      <c r="E5" s="1" t="s">
        <v>18</v>
      </c>
      <c r="F5" s="1" t="s">
        <v>19</v>
      </c>
      <c r="G5" s="1" t="s">
        <v>265</v>
      </c>
    </row>
    <row r="6" spans="1:10" hidden="1" x14ac:dyDescent="0.15">
      <c r="A6" s="1" t="s">
        <v>269</v>
      </c>
      <c r="B6" s="1" t="s">
        <v>264</v>
      </c>
      <c r="C6" s="1">
        <v>200</v>
      </c>
      <c r="D6" s="1" t="s">
        <v>340</v>
      </c>
      <c r="E6" s="1" t="s">
        <v>18</v>
      </c>
      <c r="F6" s="1" t="s">
        <v>19</v>
      </c>
      <c r="G6" s="1" t="s">
        <v>265</v>
      </c>
    </row>
    <row r="7" spans="1:10" x14ac:dyDescent="0.15">
      <c r="A7" s="1" t="s">
        <v>270</v>
      </c>
      <c r="B7" s="1" t="s">
        <v>271</v>
      </c>
      <c r="C7" s="2">
        <v>128</v>
      </c>
      <c r="D7" s="1" t="s">
        <v>68</v>
      </c>
      <c r="E7" s="1" t="s">
        <v>11</v>
      </c>
      <c r="F7" s="1" t="s">
        <v>12</v>
      </c>
      <c r="G7" s="1" t="s">
        <v>272</v>
      </c>
      <c r="H7" s="3">
        <v>9.8000000000000007</v>
      </c>
      <c r="J7" s="3">
        <v>5.94</v>
      </c>
    </row>
    <row r="8" spans="1:10" x14ac:dyDescent="0.15">
      <c r="A8" s="1" t="s">
        <v>273</v>
      </c>
      <c r="B8" s="1" t="s">
        <v>264</v>
      </c>
      <c r="C8" s="2">
        <v>127</v>
      </c>
      <c r="D8" s="1" t="s">
        <v>68</v>
      </c>
      <c r="E8" s="1" t="s">
        <v>11</v>
      </c>
      <c r="F8" s="1" t="s">
        <v>12</v>
      </c>
      <c r="G8" s="1" t="s">
        <v>274</v>
      </c>
      <c r="H8" s="3">
        <v>5.94</v>
      </c>
      <c r="J8" s="3">
        <v>5.94</v>
      </c>
    </row>
    <row r="9" spans="1:10" x14ac:dyDescent="0.15">
      <c r="A9" s="1" t="s">
        <v>275</v>
      </c>
      <c r="B9" s="1" t="s">
        <v>264</v>
      </c>
      <c r="C9" s="2">
        <v>127</v>
      </c>
      <c r="D9" s="1" t="s">
        <v>68</v>
      </c>
      <c r="E9" s="1" t="s">
        <v>11</v>
      </c>
      <c r="F9" s="1" t="s">
        <v>12</v>
      </c>
      <c r="G9" s="1" t="s">
        <v>276</v>
      </c>
      <c r="H9" s="3">
        <v>5.94</v>
      </c>
      <c r="J9" s="3">
        <v>5.94</v>
      </c>
    </row>
    <row r="10" spans="1:10" hidden="1" x14ac:dyDescent="0.15">
      <c r="A10" s="1" t="s">
        <v>277</v>
      </c>
      <c r="B10" s="1" t="s">
        <v>271</v>
      </c>
      <c r="C10" s="1">
        <v>15</v>
      </c>
      <c r="D10" s="1" t="s">
        <v>278</v>
      </c>
      <c r="E10" s="1" t="s">
        <v>33</v>
      </c>
      <c r="F10" s="1" t="s">
        <v>92</v>
      </c>
      <c r="G10" s="1" t="s">
        <v>279</v>
      </c>
      <c r="J10" s="3"/>
    </row>
    <row r="11" spans="1:10" x14ac:dyDescent="0.15">
      <c r="A11" s="1" t="s">
        <v>280</v>
      </c>
      <c r="B11" s="1" t="s">
        <v>281</v>
      </c>
      <c r="C11" s="2">
        <v>30</v>
      </c>
      <c r="D11" s="1" t="s">
        <v>68</v>
      </c>
      <c r="E11" s="1" t="s">
        <v>67</v>
      </c>
      <c r="F11" s="1" t="s">
        <v>92</v>
      </c>
      <c r="G11" s="1" t="s">
        <v>282</v>
      </c>
      <c r="H11" s="3">
        <v>5.28</v>
      </c>
      <c r="J11" s="3">
        <v>1.92</v>
      </c>
    </row>
    <row r="12" spans="1:10" x14ac:dyDescent="0.15">
      <c r="A12" s="1" t="s">
        <v>283</v>
      </c>
      <c r="B12" s="1" t="s">
        <v>281</v>
      </c>
      <c r="C12" s="2">
        <v>30</v>
      </c>
      <c r="D12" s="1" t="s">
        <v>68</v>
      </c>
      <c r="E12" s="1" t="s">
        <v>67</v>
      </c>
      <c r="F12" s="1" t="s">
        <v>92</v>
      </c>
      <c r="G12" s="1" t="s">
        <v>284</v>
      </c>
      <c r="H12" s="3">
        <v>5.28</v>
      </c>
      <c r="J12" s="3">
        <v>1.92</v>
      </c>
    </row>
    <row r="13" spans="1:10" hidden="1" x14ac:dyDescent="0.15">
      <c r="A13" s="1" t="s">
        <v>285</v>
      </c>
      <c r="B13" s="1" t="s">
        <v>264</v>
      </c>
      <c r="C13" s="1">
        <v>500</v>
      </c>
      <c r="D13" s="1" t="s">
        <v>16</v>
      </c>
      <c r="E13" s="1" t="s">
        <v>18</v>
      </c>
      <c r="F13" s="1" t="s">
        <v>19</v>
      </c>
      <c r="G13" s="1" t="s">
        <v>286</v>
      </c>
      <c r="J13" s="3"/>
    </row>
    <row r="14" spans="1:10" x14ac:dyDescent="0.15">
      <c r="A14" s="1" t="s">
        <v>285</v>
      </c>
      <c r="B14" s="1" t="s">
        <v>264</v>
      </c>
      <c r="C14" s="2">
        <v>500</v>
      </c>
      <c r="D14" s="1" t="s">
        <v>68</v>
      </c>
      <c r="E14" s="1" t="s">
        <v>287</v>
      </c>
      <c r="F14" s="1" t="s">
        <v>87</v>
      </c>
      <c r="G14" s="1" t="s">
        <v>288</v>
      </c>
      <c r="H14" s="3">
        <v>21.81</v>
      </c>
      <c r="J14" s="3">
        <v>21.81</v>
      </c>
    </row>
    <row r="15" spans="1:10" hidden="1" x14ac:dyDescent="0.15">
      <c r="A15" s="1" t="s">
        <v>289</v>
      </c>
      <c r="B15" s="1" t="s">
        <v>264</v>
      </c>
      <c r="C15" s="1">
        <v>210</v>
      </c>
      <c r="D15" s="1" t="s">
        <v>16</v>
      </c>
      <c r="E15" s="1" t="s">
        <v>18</v>
      </c>
      <c r="F15" s="1" t="s">
        <v>19</v>
      </c>
      <c r="G15" s="1" t="s">
        <v>286</v>
      </c>
      <c r="J15" s="3"/>
    </row>
    <row r="16" spans="1:10" x14ac:dyDescent="0.15">
      <c r="A16" s="1" t="s">
        <v>289</v>
      </c>
      <c r="B16" s="1" t="s">
        <v>264</v>
      </c>
      <c r="C16" s="2">
        <v>512</v>
      </c>
      <c r="D16" s="1" t="s">
        <v>68</v>
      </c>
      <c r="E16" s="1" t="s">
        <v>287</v>
      </c>
      <c r="F16" s="1" t="s">
        <v>87</v>
      </c>
      <c r="G16" s="1" t="s">
        <v>288</v>
      </c>
      <c r="H16" s="3">
        <v>21.81</v>
      </c>
      <c r="J16" s="3">
        <v>21.81</v>
      </c>
    </row>
    <row r="17" spans="1:10" hidden="1" x14ac:dyDescent="0.15">
      <c r="A17" s="1" t="s">
        <v>290</v>
      </c>
      <c r="B17" s="1" t="s">
        <v>264</v>
      </c>
      <c r="C17" s="1">
        <v>2500</v>
      </c>
      <c r="D17" s="1" t="s">
        <v>22</v>
      </c>
      <c r="E17" s="1" t="s">
        <v>18</v>
      </c>
      <c r="F17" s="1" t="s">
        <v>19</v>
      </c>
      <c r="G17" s="1" t="s">
        <v>291</v>
      </c>
      <c r="J17" s="3"/>
    </row>
    <row r="18" spans="1:10" x14ac:dyDescent="0.15">
      <c r="A18" s="1" t="s">
        <v>290</v>
      </c>
      <c r="B18" s="1" t="s">
        <v>264</v>
      </c>
      <c r="C18" s="2">
        <v>2500</v>
      </c>
      <c r="D18" s="1" t="s">
        <v>68</v>
      </c>
      <c r="E18" s="1" t="s">
        <v>287</v>
      </c>
      <c r="F18" s="1" t="s">
        <v>87</v>
      </c>
      <c r="G18" s="1" t="s">
        <v>292</v>
      </c>
      <c r="H18" s="3">
        <v>143.41</v>
      </c>
      <c r="J18" s="3">
        <v>143.41</v>
      </c>
    </row>
    <row r="19" spans="1:10" hidden="1" x14ac:dyDescent="0.15">
      <c r="A19" s="1" t="s">
        <v>293</v>
      </c>
      <c r="B19" s="1" t="s">
        <v>264</v>
      </c>
      <c r="C19" s="1">
        <v>130</v>
      </c>
      <c r="D19" s="1" t="s">
        <v>22</v>
      </c>
      <c r="E19" s="1" t="s">
        <v>18</v>
      </c>
      <c r="F19" s="1" t="s">
        <v>19</v>
      </c>
      <c r="G19" s="1" t="s">
        <v>294</v>
      </c>
      <c r="J19" s="3"/>
    </row>
    <row r="20" spans="1:10" x14ac:dyDescent="0.15">
      <c r="A20" s="1" t="s">
        <v>293</v>
      </c>
      <c r="B20" s="1" t="s">
        <v>264</v>
      </c>
      <c r="C20" s="2">
        <v>130</v>
      </c>
      <c r="D20" s="1" t="s">
        <v>68</v>
      </c>
      <c r="E20" s="1" t="s">
        <v>287</v>
      </c>
      <c r="F20" s="1" t="s">
        <v>87</v>
      </c>
      <c r="G20" s="1" t="s">
        <v>292</v>
      </c>
      <c r="H20" s="3">
        <v>11.38</v>
      </c>
      <c r="J20" s="3">
        <v>11.38</v>
      </c>
    </row>
    <row r="21" spans="1:10" hidden="1" x14ac:dyDescent="0.15">
      <c r="A21" s="1" t="s">
        <v>295</v>
      </c>
      <c r="B21" s="1" t="s">
        <v>264</v>
      </c>
      <c r="C21" s="1">
        <v>120</v>
      </c>
      <c r="D21" s="1" t="s">
        <v>23</v>
      </c>
      <c r="E21" s="1" t="s">
        <v>18</v>
      </c>
      <c r="F21" s="1" t="s">
        <v>19</v>
      </c>
      <c r="G21" s="1" t="s">
        <v>296</v>
      </c>
      <c r="J21" s="3"/>
    </row>
    <row r="22" spans="1:10" hidden="1" x14ac:dyDescent="0.15">
      <c r="A22" s="1" t="s">
        <v>297</v>
      </c>
      <c r="B22" s="1" t="s">
        <v>264</v>
      </c>
      <c r="C22" s="1">
        <v>80</v>
      </c>
      <c r="D22" s="1" t="s">
        <v>25</v>
      </c>
      <c r="E22" s="1" t="s">
        <v>18</v>
      </c>
      <c r="F22" s="1" t="s">
        <v>19</v>
      </c>
      <c r="G22" s="1" t="s">
        <v>298</v>
      </c>
      <c r="J22" s="3"/>
    </row>
    <row r="23" spans="1:10" hidden="1" x14ac:dyDescent="0.15">
      <c r="A23" s="1" t="s">
        <v>299</v>
      </c>
      <c r="B23" s="1" t="s">
        <v>264</v>
      </c>
      <c r="C23" s="1">
        <v>16</v>
      </c>
      <c r="D23" s="1" t="s">
        <v>26</v>
      </c>
      <c r="E23" s="1" t="s">
        <v>18</v>
      </c>
      <c r="F23" s="1" t="s">
        <v>19</v>
      </c>
      <c r="G23" s="1" t="s">
        <v>300</v>
      </c>
      <c r="J23" s="3"/>
    </row>
    <row r="24" spans="1:10" hidden="1" x14ac:dyDescent="0.15">
      <c r="A24" s="1" t="s">
        <v>301</v>
      </c>
      <c r="B24" s="1" t="s">
        <v>264</v>
      </c>
      <c r="C24" s="1">
        <v>6</v>
      </c>
      <c r="D24" s="1" t="s">
        <v>26</v>
      </c>
      <c r="E24" s="1" t="s">
        <v>18</v>
      </c>
      <c r="F24" s="1" t="s">
        <v>19</v>
      </c>
      <c r="G24" s="1" t="s">
        <v>300</v>
      </c>
      <c r="J24" s="3"/>
    </row>
    <row r="25" spans="1:10" hidden="1" x14ac:dyDescent="0.15">
      <c r="A25" s="1" t="s">
        <v>302</v>
      </c>
      <c r="B25" s="1" t="s">
        <v>264</v>
      </c>
      <c r="C25" s="1">
        <v>200</v>
      </c>
      <c r="D25" s="1" t="s">
        <v>26</v>
      </c>
      <c r="E25" s="1" t="s">
        <v>18</v>
      </c>
      <c r="F25" s="1" t="s">
        <v>19</v>
      </c>
      <c r="G25" s="1" t="s">
        <v>300</v>
      </c>
      <c r="J25" s="3"/>
    </row>
    <row r="26" spans="1:10" hidden="1" x14ac:dyDescent="0.15">
      <c r="A26" s="1" t="s">
        <v>303</v>
      </c>
      <c r="B26" s="1" t="s">
        <v>264</v>
      </c>
      <c r="C26" s="1">
        <v>50</v>
      </c>
      <c r="D26" s="1" t="s">
        <v>26</v>
      </c>
      <c r="E26" s="1" t="s">
        <v>18</v>
      </c>
      <c r="F26" s="1" t="s">
        <v>19</v>
      </c>
      <c r="G26" s="1" t="s">
        <v>300</v>
      </c>
      <c r="J26" s="3"/>
    </row>
    <row r="27" spans="1:10" hidden="1" x14ac:dyDescent="0.15">
      <c r="A27" s="1" t="s">
        <v>304</v>
      </c>
      <c r="B27" s="1" t="s">
        <v>264</v>
      </c>
      <c r="C27" s="1">
        <v>120</v>
      </c>
      <c r="D27" s="1" t="s">
        <v>26</v>
      </c>
      <c r="E27" s="1" t="s">
        <v>18</v>
      </c>
      <c r="F27" s="1" t="s">
        <v>19</v>
      </c>
      <c r="G27" s="1" t="s">
        <v>300</v>
      </c>
      <c r="J27" s="3"/>
    </row>
    <row r="28" spans="1:10" x14ac:dyDescent="0.15">
      <c r="A28" s="1" t="s">
        <v>305</v>
      </c>
      <c r="B28" s="1" t="s">
        <v>264</v>
      </c>
      <c r="C28" s="2">
        <v>500</v>
      </c>
      <c r="D28" s="1" t="s">
        <v>68</v>
      </c>
      <c r="E28" s="1" t="s">
        <v>18</v>
      </c>
      <c r="F28" s="1" t="s">
        <v>19</v>
      </c>
      <c r="G28" s="1" t="s">
        <v>306</v>
      </c>
      <c r="H28" s="3">
        <v>21.81</v>
      </c>
      <c r="J28" s="3">
        <v>21.81</v>
      </c>
    </row>
    <row r="29" spans="1:10" hidden="1" x14ac:dyDescent="0.15">
      <c r="A29" s="1" t="s">
        <v>307</v>
      </c>
      <c r="B29" s="1" t="s">
        <v>264</v>
      </c>
      <c r="C29" s="1">
        <v>30</v>
      </c>
      <c r="D29" s="1" t="s">
        <v>27</v>
      </c>
      <c r="E29" s="1" t="s">
        <v>18</v>
      </c>
      <c r="F29" s="1" t="s">
        <v>19</v>
      </c>
      <c r="G29" s="1" t="s">
        <v>308</v>
      </c>
      <c r="J29" s="4">
        <f>SUM(J7:J28)</f>
        <v>241.88</v>
      </c>
    </row>
    <row r="30" spans="1:10" hidden="1" x14ac:dyDescent="0.15">
      <c r="A30" s="1" t="s">
        <v>309</v>
      </c>
      <c r="B30" s="1" t="s">
        <v>271</v>
      </c>
      <c r="C30" s="1">
        <v>16</v>
      </c>
      <c r="D30" s="1" t="s">
        <v>310</v>
      </c>
      <c r="E30" s="1" t="s">
        <v>44</v>
      </c>
      <c r="F30" s="1" t="s">
        <v>87</v>
      </c>
      <c r="G30" s="1" t="s">
        <v>311</v>
      </c>
    </row>
    <row r="31" spans="1:10" hidden="1" x14ac:dyDescent="0.15">
      <c r="A31" s="1" t="s">
        <v>312</v>
      </c>
      <c r="B31" s="1" t="s">
        <v>271</v>
      </c>
      <c r="C31" s="1">
        <v>16</v>
      </c>
      <c r="D31" s="1" t="s">
        <v>313</v>
      </c>
      <c r="E31" s="1" t="s">
        <v>52</v>
      </c>
      <c r="F31" s="1" t="s">
        <v>87</v>
      </c>
      <c r="G31" s="1" t="s">
        <v>314</v>
      </c>
    </row>
    <row r="32" spans="1:10" hidden="1" x14ac:dyDescent="0.15">
      <c r="A32" s="1" t="s">
        <v>315</v>
      </c>
      <c r="B32" s="1" t="s">
        <v>271</v>
      </c>
      <c r="C32" s="1">
        <v>16</v>
      </c>
      <c r="D32" s="1" t="s">
        <v>316</v>
      </c>
      <c r="E32" s="1" t="s">
        <v>39</v>
      </c>
      <c r="F32" s="1" t="s">
        <v>92</v>
      </c>
      <c r="G32" s="1" t="s">
        <v>317</v>
      </c>
    </row>
    <row r="33" spans="1:10" hidden="1" x14ac:dyDescent="0.15">
      <c r="A33" s="1" t="s">
        <v>318</v>
      </c>
      <c r="B33" s="1" t="s">
        <v>271</v>
      </c>
      <c r="C33" s="1">
        <v>32</v>
      </c>
      <c r="D33" s="1" t="s">
        <v>316</v>
      </c>
      <c r="E33" s="1" t="s">
        <v>39</v>
      </c>
      <c r="F33" s="1" t="s">
        <v>92</v>
      </c>
      <c r="G33" s="1" t="s">
        <v>319</v>
      </c>
    </row>
    <row r="34" spans="1:10" hidden="1" x14ac:dyDescent="0.15">
      <c r="A34" s="1" t="s">
        <v>320</v>
      </c>
      <c r="B34" s="1" t="s">
        <v>271</v>
      </c>
      <c r="C34" s="1">
        <v>16</v>
      </c>
      <c r="D34" s="1" t="s">
        <v>278</v>
      </c>
      <c r="E34" s="1" t="s">
        <v>33</v>
      </c>
      <c r="F34" s="1" t="s">
        <v>92</v>
      </c>
      <c r="G34" s="1" t="s">
        <v>321</v>
      </c>
    </row>
    <row r="35" spans="1:10" hidden="1" x14ac:dyDescent="0.15">
      <c r="A35" s="1" t="s">
        <v>322</v>
      </c>
      <c r="B35" s="1" t="s">
        <v>271</v>
      </c>
      <c r="C35" s="1">
        <v>32</v>
      </c>
      <c r="D35" s="1" t="s">
        <v>323</v>
      </c>
      <c r="E35" s="1" t="s">
        <v>39</v>
      </c>
      <c r="F35" s="1" t="s">
        <v>92</v>
      </c>
      <c r="G35" s="1" t="s">
        <v>319</v>
      </c>
    </row>
    <row r="36" spans="1:10" hidden="1" x14ac:dyDescent="0.15">
      <c r="A36" s="1" t="s">
        <v>324</v>
      </c>
      <c r="B36" s="1" t="s">
        <v>271</v>
      </c>
      <c r="C36" s="1">
        <v>16</v>
      </c>
      <c r="D36" s="1" t="s">
        <v>325</v>
      </c>
      <c r="E36" s="1" t="s">
        <v>37</v>
      </c>
      <c r="F36" s="1" t="s">
        <v>87</v>
      </c>
      <c r="G36" s="1" t="s">
        <v>326</v>
      </c>
    </row>
    <row r="37" spans="1:10" x14ac:dyDescent="0.15">
      <c r="H37" s="8">
        <f>+H7+H8+H9+H11+H12+H14+H16+H20+H18+H28</f>
        <v>252.45999999999998</v>
      </c>
      <c r="J37" s="8">
        <f>+J7+J8+J9+J11+J12+J14+J16+J18+J20+J28</f>
        <v>241.88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C9ABD-B0BD-412E-B956-4F28E2FBD340}">
  <dimension ref="A1:J5"/>
  <sheetViews>
    <sheetView showGridLines="0" workbookViewId="0">
      <selection activeCell="F18" sqref="F18"/>
    </sheetView>
  </sheetViews>
  <sheetFormatPr baseColWidth="10" defaultRowHeight="10.5" x14ac:dyDescent="0.15"/>
  <cols>
    <col min="1" max="1" width="20.7109375" style="1" customWidth="1"/>
    <col min="2" max="2" width="16" style="1" customWidth="1"/>
    <col min="3" max="3" width="19" style="1" customWidth="1"/>
    <col min="4" max="4" width="12.28515625" style="1" customWidth="1"/>
    <col min="5" max="5" width="17.28515625" style="1" bestFit="1" customWidth="1"/>
    <col min="6" max="6" width="20.5703125" style="1" customWidth="1"/>
    <col min="7" max="7" width="41.85546875" style="1" hidden="1" customWidth="1"/>
    <col min="8" max="8" width="11.42578125" style="2" customWidth="1"/>
    <col min="9" max="9" width="14.5703125" style="1" customWidth="1"/>
    <col min="10" max="10" width="18.85546875" style="1" customWidth="1"/>
    <col min="11" max="16384" width="11.42578125" style="1"/>
  </cols>
  <sheetData>
    <row r="1" spans="1:10" x14ac:dyDescent="0.15">
      <c r="A1" s="1" t="s">
        <v>29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342</v>
      </c>
      <c r="J1" s="1" t="s">
        <v>346</v>
      </c>
    </row>
    <row r="2" spans="1:10" x14ac:dyDescent="0.1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330</v>
      </c>
      <c r="H2" s="2">
        <v>2</v>
      </c>
      <c r="I2" s="1" t="s">
        <v>343</v>
      </c>
      <c r="J2" s="3">
        <v>33.19</v>
      </c>
    </row>
    <row r="3" spans="1:10" x14ac:dyDescent="0.15">
      <c r="A3" s="1" t="s">
        <v>22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331</v>
      </c>
      <c r="H3" s="2">
        <v>2</v>
      </c>
      <c r="I3" s="1" t="s">
        <v>344</v>
      </c>
      <c r="J3" s="3">
        <v>175.27</v>
      </c>
    </row>
    <row r="4" spans="1:10" x14ac:dyDescent="0.15">
      <c r="A4" s="1" t="s">
        <v>25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329</v>
      </c>
      <c r="H4" s="2">
        <v>1</v>
      </c>
      <c r="I4" s="1" t="s">
        <v>345</v>
      </c>
      <c r="J4" s="3">
        <v>5.94</v>
      </c>
    </row>
    <row r="5" spans="1:10" x14ac:dyDescent="0.15">
      <c r="J5" s="9">
        <f>SUM(J2:J4)</f>
        <v>214.4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8BCC-3010-4F47-8089-12ACB16A4AB1}">
  <dimension ref="A2:H12"/>
  <sheetViews>
    <sheetView showGridLines="0" workbookViewId="0">
      <selection activeCell="H21" sqref="H21"/>
    </sheetView>
  </sheetViews>
  <sheetFormatPr baseColWidth="10" defaultRowHeight="15" x14ac:dyDescent="0.25"/>
  <cols>
    <col min="1" max="1" width="26.5703125" customWidth="1"/>
    <col min="4" max="4" width="19.42578125" customWidth="1"/>
    <col min="5" max="5" width="33.28515625" customWidth="1"/>
    <col min="6" max="6" width="25.42578125" customWidth="1"/>
    <col min="7" max="7" width="23" customWidth="1"/>
    <col min="8" max="8" width="20" customWidth="1"/>
  </cols>
  <sheetData>
    <row r="2" spans="1:8" x14ac:dyDescent="0.25">
      <c r="A2" t="s">
        <v>388</v>
      </c>
      <c r="B2" t="s">
        <v>387</v>
      </c>
      <c r="C2" t="s">
        <v>386</v>
      </c>
      <c r="D2" t="s">
        <v>385</v>
      </c>
      <c r="E2" t="s">
        <v>384</v>
      </c>
      <c r="F2" t="s">
        <v>389</v>
      </c>
      <c r="G2" t="s">
        <v>390</v>
      </c>
      <c r="H2" t="s">
        <v>391</v>
      </c>
    </row>
    <row r="3" spans="1:8" x14ac:dyDescent="0.25">
      <c r="A3" t="s">
        <v>369</v>
      </c>
      <c r="B3">
        <v>3</v>
      </c>
      <c r="C3" t="s">
        <v>370</v>
      </c>
      <c r="D3" t="s">
        <v>371</v>
      </c>
      <c r="E3" t="s">
        <v>380</v>
      </c>
      <c r="F3" s="27">
        <v>281.77999999999997</v>
      </c>
      <c r="G3" s="27">
        <f>+Tabla9[[#This Row],[PVP Aprox. Mensual unidad]]*Tabla9[[#This Row],[Instancia]]</f>
        <v>845.33999999999992</v>
      </c>
      <c r="H3" s="27">
        <v>663.96</v>
      </c>
    </row>
    <row r="4" spans="1:8" x14ac:dyDescent="0.25">
      <c r="A4" t="s">
        <v>372</v>
      </c>
      <c r="B4">
        <v>2</v>
      </c>
      <c r="C4" t="s">
        <v>378</v>
      </c>
      <c r="D4" t="s">
        <v>371</v>
      </c>
      <c r="E4" t="s">
        <v>382</v>
      </c>
      <c r="F4" s="27">
        <v>299.3</v>
      </c>
      <c r="G4" s="27">
        <f>+Tabla9[[#This Row],[PVP Aprox. Mensual unidad]]*Tabla9[[#This Row],[Instancia]]</f>
        <v>598.6</v>
      </c>
      <c r="H4" s="27">
        <v>462.64</v>
      </c>
    </row>
    <row r="5" spans="1:8" x14ac:dyDescent="0.25">
      <c r="A5" t="s">
        <v>373</v>
      </c>
      <c r="B5">
        <v>2</v>
      </c>
      <c r="C5" t="s">
        <v>378</v>
      </c>
      <c r="D5" t="s">
        <v>371</v>
      </c>
      <c r="E5" t="s">
        <v>383</v>
      </c>
      <c r="F5" s="27">
        <v>636.55999999999995</v>
      </c>
      <c r="G5" s="27">
        <f>+Tabla9[[#This Row],[PVP Aprox. Mensual unidad]]*Tabla9[[#This Row],[Instancia]]</f>
        <v>1273.1199999999999</v>
      </c>
      <c r="H5" s="27">
        <v>971.44</v>
      </c>
    </row>
    <row r="6" spans="1:8" x14ac:dyDescent="0.25">
      <c r="A6" t="s">
        <v>374</v>
      </c>
      <c r="B6">
        <v>2</v>
      </c>
      <c r="C6" t="s">
        <v>370</v>
      </c>
      <c r="D6" t="s">
        <v>379</v>
      </c>
      <c r="E6" t="s">
        <v>380</v>
      </c>
      <c r="F6" s="27">
        <v>281.77999999999997</v>
      </c>
      <c r="G6" s="27">
        <f>+Tabla9[[#This Row],[PVP Aprox. Mensual unidad]]*Tabla9[[#This Row],[Instancia]]</f>
        <v>563.55999999999995</v>
      </c>
      <c r="H6" s="27">
        <v>442.64</v>
      </c>
    </row>
    <row r="7" spans="1:8" x14ac:dyDescent="0.25">
      <c r="A7" t="s">
        <v>375</v>
      </c>
      <c r="B7">
        <v>1</v>
      </c>
      <c r="C7" t="s">
        <v>378</v>
      </c>
      <c r="D7" t="s">
        <v>379</v>
      </c>
      <c r="E7" t="s">
        <v>381</v>
      </c>
      <c r="F7" s="27">
        <v>636.55999999999995</v>
      </c>
      <c r="G7" s="27">
        <f>+Tabla9[[#This Row],[PVP Aprox. Mensual unidad]]*Tabla9[[#This Row],[Instancia]]</f>
        <v>636.55999999999995</v>
      </c>
      <c r="H7" s="27">
        <v>484.98</v>
      </c>
    </row>
    <row r="8" spans="1:8" x14ac:dyDescent="0.25">
      <c r="A8" t="s">
        <v>376</v>
      </c>
      <c r="B8">
        <v>1</v>
      </c>
      <c r="C8" t="s">
        <v>370</v>
      </c>
      <c r="D8" t="s">
        <v>379</v>
      </c>
      <c r="E8" t="s">
        <v>380</v>
      </c>
      <c r="F8" s="27">
        <v>281.77999999999997</v>
      </c>
      <c r="G8" s="27">
        <f>+Tabla9[[#This Row],[PVP Aprox. Mensual unidad]]*Tabla9[[#This Row],[Instancia]]</f>
        <v>281.77999999999997</v>
      </c>
      <c r="H8" s="27">
        <v>221.32</v>
      </c>
    </row>
    <row r="9" spans="1:8" x14ac:dyDescent="0.25">
      <c r="A9" t="s">
        <v>377</v>
      </c>
      <c r="B9">
        <v>1</v>
      </c>
      <c r="C9" t="s">
        <v>370</v>
      </c>
      <c r="D9" t="s">
        <v>371</v>
      </c>
      <c r="E9" t="s">
        <v>380</v>
      </c>
      <c r="F9" s="27">
        <v>281.77999999999997</v>
      </c>
      <c r="G9" s="27">
        <f>+Tabla9[[#This Row],[PVP Aprox. Mensual unidad]]*Tabla9[[#This Row],[Instancia]]</f>
        <v>281.77999999999997</v>
      </c>
      <c r="H9" s="27">
        <v>221.32</v>
      </c>
    </row>
    <row r="10" spans="1:8" x14ac:dyDescent="0.25">
      <c r="F10" s="27"/>
      <c r="G10" s="27">
        <f>SUM(G3:G9)</f>
        <v>4480.74</v>
      </c>
      <c r="H10" s="27">
        <f>SUM(H3:H9)</f>
        <v>3468.3</v>
      </c>
    </row>
    <row r="11" spans="1:8" x14ac:dyDescent="0.25">
      <c r="H11" s="6">
        <f>+Tabla9[[#Totals],[PVP Aprox '# Instancia]]-Tabla9[[#Totals],[PVP Aprox. IR]]</f>
        <v>1012.4399999999996</v>
      </c>
    </row>
    <row r="12" spans="1:8" x14ac:dyDescent="0.25">
      <c r="H12" s="7">
        <f>+H11/Tabla9[[#Totals],[PVP Aprox '# Instancia]]</f>
        <v>0.22595374871115032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F4DF8-7F35-4898-8F21-52E98EEF5F29}">
  <dimension ref="A1:J13"/>
  <sheetViews>
    <sheetView showGridLines="0" workbookViewId="0">
      <selection activeCell="G24" sqref="G24"/>
    </sheetView>
  </sheetViews>
  <sheetFormatPr baseColWidth="10" defaultRowHeight="10.5" x14ac:dyDescent="0.15"/>
  <cols>
    <col min="1" max="1" width="45.85546875" style="1" bestFit="1" customWidth="1"/>
    <col min="2" max="2" width="42.28515625" style="1" bestFit="1" customWidth="1"/>
    <col min="3" max="3" width="11.42578125" style="1"/>
    <col min="4" max="4" width="16.5703125" style="1" customWidth="1"/>
    <col min="5" max="5" width="20.140625" style="1" bestFit="1" customWidth="1"/>
    <col min="6" max="6" width="11.42578125" style="1"/>
    <col min="7" max="7" width="17" style="1" bestFit="1" customWidth="1"/>
    <col min="8" max="8" width="0" style="1" hidden="1" customWidth="1"/>
    <col min="9" max="9" width="11.42578125" style="1"/>
    <col min="10" max="10" width="14.42578125" style="1" customWidth="1"/>
    <col min="11" max="16384" width="11.42578125" style="1"/>
  </cols>
  <sheetData>
    <row r="1" spans="1:10" x14ac:dyDescent="0.15">
      <c r="A1" s="1" t="s">
        <v>0</v>
      </c>
      <c r="B1" s="1" t="s">
        <v>81</v>
      </c>
      <c r="C1" s="1" t="s">
        <v>4</v>
      </c>
      <c r="D1" s="1" t="s">
        <v>241</v>
      </c>
      <c r="E1" s="1" t="s">
        <v>2</v>
      </c>
      <c r="F1" s="1" t="s">
        <v>3</v>
      </c>
      <c r="G1" s="1" t="s">
        <v>1</v>
      </c>
      <c r="H1" s="1" t="s">
        <v>242</v>
      </c>
      <c r="I1" s="1" t="s">
        <v>347</v>
      </c>
      <c r="J1" s="1" t="s">
        <v>348</v>
      </c>
    </row>
    <row r="2" spans="1:10" x14ac:dyDescent="0.15">
      <c r="A2" s="1" t="s">
        <v>243</v>
      </c>
      <c r="B2" s="1" t="s">
        <v>244</v>
      </c>
      <c r="C2" s="1" t="s">
        <v>245</v>
      </c>
      <c r="D2" s="1" t="s">
        <v>246</v>
      </c>
      <c r="E2" s="1" t="s">
        <v>73</v>
      </c>
      <c r="F2" s="1" t="s">
        <v>92</v>
      </c>
      <c r="G2" s="1" t="s">
        <v>17</v>
      </c>
      <c r="H2" s="1">
        <v>11</v>
      </c>
      <c r="I2" s="3">
        <v>148.88</v>
      </c>
      <c r="J2" s="3">
        <v>107.36</v>
      </c>
    </row>
    <row r="3" spans="1:10" x14ac:dyDescent="0.15">
      <c r="A3" s="1" t="s">
        <v>251</v>
      </c>
      <c r="B3" s="1" t="s">
        <v>248</v>
      </c>
      <c r="C3" s="1" t="s">
        <v>245</v>
      </c>
      <c r="D3" s="1" t="s">
        <v>249</v>
      </c>
      <c r="E3" s="1" t="s">
        <v>67</v>
      </c>
      <c r="F3" s="1" t="s">
        <v>92</v>
      </c>
      <c r="G3" s="1" t="s">
        <v>88</v>
      </c>
      <c r="H3" s="1">
        <v>12</v>
      </c>
      <c r="I3" s="3">
        <v>148.88</v>
      </c>
      <c r="J3" s="3">
        <v>107.36</v>
      </c>
    </row>
    <row r="4" spans="1:10" x14ac:dyDescent="0.15">
      <c r="A4" s="1" t="s">
        <v>256</v>
      </c>
      <c r="B4" s="1" t="s">
        <v>248</v>
      </c>
      <c r="C4" s="1" t="s">
        <v>245</v>
      </c>
      <c r="D4" s="1" t="s">
        <v>249</v>
      </c>
      <c r="E4" s="1" t="s">
        <v>182</v>
      </c>
      <c r="F4" s="1" t="s">
        <v>92</v>
      </c>
      <c r="G4" s="1" t="s">
        <v>181</v>
      </c>
      <c r="H4" s="1">
        <v>12</v>
      </c>
      <c r="I4" s="3">
        <v>148.88</v>
      </c>
      <c r="J4" s="3">
        <v>107.36</v>
      </c>
    </row>
    <row r="5" spans="1:10" x14ac:dyDescent="0.15">
      <c r="A5" s="1" t="s">
        <v>258</v>
      </c>
      <c r="B5" s="1" t="s">
        <v>248</v>
      </c>
      <c r="C5" s="1" t="s">
        <v>245</v>
      </c>
      <c r="D5" s="1" t="s">
        <v>249</v>
      </c>
      <c r="E5" s="1" t="s">
        <v>73</v>
      </c>
      <c r="F5" s="1" t="s">
        <v>92</v>
      </c>
      <c r="G5" s="1" t="s">
        <v>17</v>
      </c>
      <c r="H5" s="1">
        <v>12</v>
      </c>
      <c r="I5" s="3">
        <v>148.88</v>
      </c>
      <c r="J5" s="3">
        <v>107.36</v>
      </c>
    </row>
    <row r="6" spans="1:10" x14ac:dyDescent="0.15">
      <c r="A6" s="1" t="s">
        <v>247</v>
      </c>
      <c r="B6" s="1" t="s">
        <v>248</v>
      </c>
      <c r="C6" s="1" t="s">
        <v>245</v>
      </c>
      <c r="D6" s="1" t="s">
        <v>249</v>
      </c>
      <c r="E6" s="1" t="s">
        <v>85</v>
      </c>
      <c r="F6" s="1" t="s">
        <v>87</v>
      </c>
      <c r="G6" s="1" t="s">
        <v>88</v>
      </c>
      <c r="H6" s="1">
        <v>12</v>
      </c>
      <c r="I6" s="3">
        <v>148.88</v>
      </c>
      <c r="J6" s="3">
        <v>107.36</v>
      </c>
    </row>
    <row r="7" spans="1:10" x14ac:dyDescent="0.15">
      <c r="A7" s="1" t="s">
        <v>250</v>
      </c>
      <c r="B7" s="1" t="s">
        <v>248</v>
      </c>
      <c r="C7" s="1" t="s">
        <v>245</v>
      </c>
      <c r="D7" s="1" t="s">
        <v>249</v>
      </c>
      <c r="E7" s="1" t="s">
        <v>90</v>
      </c>
      <c r="F7" s="1" t="s">
        <v>87</v>
      </c>
      <c r="G7" s="1" t="s">
        <v>88</v>
      </c>
      <c r="H7" s="1">
        <v>12</v>
      </c>
      <c r="I7" s="3">
        <v>148.88</v>
      </c>
      <c r="J7" s="3">
        <v>107.36</v>
      </c>
    </row>
    <row r="8" spans="1:10" x14ac:dyDescent="0.15">
      <c r="A8" s="1" t="s">
        <v>252</v>
      </c>
      <c r="B8" s="1" t="s">
        <v>248</v>
      </c>
      <c r="C8" s="1" t="s">
        <v>245</v>
      </c>
      <c r="D8" s="1" t="s">
        <v>249</v>
      </c>
      <c r="E8" s="1" t="s">
        <v>253</v>
      </c>
      <c r="F8" s="1" t="s">
        <v>87</v>
      </c>
      <c r="G8" s="1" t="s">
        <v>181</v>
      </c>
      <c r="H8" s="1">
        <v>12</v>
      </c>
      <c r="I8" s="3">
        <v>148.88</v>
      </c>
      <c r="J8" s="3">
        <v>107.36</v>
      </c>
    </row>
    <row r="9" spans="1:10" x14ac:dyDescent="0.15">
      <c r="A9" s="1" t="s">
        <v>254</v>
      </c>
      <c r="B9" s="1" t="s">
        <v>248</v>
      </c>
      <c r="C9" s="1" t="s">
        <v>245</v>
      </c>
      <c r="D9" s="1" t="s">
        <v>249</v>
      </c>
      <c r="E9" s="1" t="s">
        <v>255</v>
      </c>
      <c r="F9" s="1" t="s">
        <v>87</v>
      </c>
      <c r="G9" s="1" t="s">
        <v>181</v>
      </c>
      <c r="H9" s="1">
        <v>12</v>
      </c>
      <c r="I9" s="3">
        <v>148.88</v>
      </c>
      <c r="J9" s="3">
        <v>107.36</v>
      </c>
    </row>
    <row r="10" spans="1:10" x14ac:dyDescent="0.15">
      <c r="A10" s="1" t="s">
        <v>257</v>
      </c>
      <c r="B10" s="1" t="s">
        <v>248</v>
      </c>
      <c r="C10" s="1" t="s">
        <v>245</v>
      </c>
      <c r="D10" s="1" t="s">
        <v>249</v>
      </c>
      <c r="E10" s="1" t="s">
        <v>95</v>
      </c>
      <c r="F10" s="1" t="s">
        <v>87</v>
      </c>
      <c r="G10" s="1" t="s">
        <v>17</v>
      </c>
      <c r="H10" s="1">
        <v>12</v>
      </c>
      <c r="I10" s="3">
        <v>148.88</v>
      </c>
      <c r="J10" s="3">
        <v>107.36</v>
      </c>
    </row>
    <row r="11" spans="1:10" x14ac:dyDescent="0.15">
      <c r="I11" s="3">
        <f>SUM(I2:I10)</f>
        <v>1339.92</v>
      </c>
      <c r="J11" s="3">
        <f>SUM(J2:J10)</f>
        <v>966.24</v>
      </c>
    </row>
    <row r="12" spans="1:10" x14ac:dyDescent="0.15">
      <c r="J12" s="4">
        <f>+Tabla7[[#Totals],[PVP Aprom. Mens.]]-Tabla7[[#Totals],[PVP Aprox IR Mens.]]</f>
        <v>373.68000000000006</v>
      </c>
    </row>
    <row r="13" spans="1:10" x14ac:dyDescent="0.15">
      <c r="J13" s="5">
        <f>+J12/Tabla7[[#Totals],[PVP Aprom. Mens.]]</f>
        <v>0.27888232133261692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5178F-E3EB-4BA7-9187-BB0BD4D91FAE}">
  <dimension ref="A1:F6"/>
  <sheetViews>
    <sheetView showGridLines="0" workbookViewId="0">
      <selection activeCell="G14" sqref="G14"/>
    </sheetView>
  </sheetViews>
  <sheetFormatPr baseColWidth="10" defaultRowHeight="10.5" x14ac:dyDescent="0.15"/>
  <cols>
    <col min="1" max="1" width="21.5703125" style="1" bestFit="1" customWidth="1"/>
    <col min="2" max="2" width="14.5703125" style="1" bestFit="1" customWidth="1"/>
    <col min="3" max="3" width="17" style="1" customWidth="1"/>
    <col min="4" max="4" width="19.42578125" style="1" customWidth="1"/>
    <col min="5" max="5" width="11.42578125" style="1"/>
    <col min="6" max="6" width="14.42578125" style="1" bestFit="1" customWidth="1"/>
    <col min="7" max="16384" width="11.42578125" style="1"/>
  </cols>
  <sheetData>
    <row r="1" spans="1:6" x14ac:dyDescent="0.15">
      <c r="A1" s="1" t="s">
        <v>0</v>
      </c>
      <c r="B1" s="1" t="s">
        <v>81</v>
      </c>
      <c r="C1" s="1" t="s">
        <v>2</v>
      </c>
      <c r="D1" s="1" t="s">
        <v>82</v>
      </c>
      <c r="E1" s="1" t="s">
        <v>3</v>
      </c>
      <c r="F1" s="1" t="s">
        <v>1</v>
      </c>
    </row>
    <row r="2" spans="1:6" x14ac:dyDescent="0.15">
      <c r="A2" s="1" t="s">
        <v>83</v>
      </c>
      <c r="B2" s="1" t="s">
        <v>84</v>
      </c>
      <c r="C2" s="1" t="s">
        <v>85</v>
      </c>
      <c r="D2" s="1" t="s">
        <v>86</v>
      </c>
      <c r="E2" s="1" t="s">
        <v>87</v>
      </c>
      <c r="F2" s="1" t="s">
        <v>88</v>
      </c>
    </row>
    <row r="3" spans="1:6" x14ac:dyDescent="0.15">
      <c r="A3" s="1" t="s">
        <v>89</v>
      </c>
      <c r="B3" s="1" t="s">
        <v>84</v>
      </c>
      <c r="C3" s="1" t="s">
        <v>90</v>
      </c>
      <c r="D3" s="1" t="s">
        <v>86</v>
      </c>
      <c r="E3" s="1" t="s">
        <v>87</v>
      </c>
      <c r="F3" s="1" t="s">
        <v>88</v>
      </c>
    </row>
    <row r="4" spans="1:6" x14ac:dyDescent="0.15">
      <c r="A4" s="1" t="s">
        <v>91</v>
      </c>
      <c r="B4" s="1" t="s">
        <v>84</v>
      </c>
      <c r="C4" s="1" t="s">
        <v>67</v>
      </c>
      <c r="D4" s="1" t="s">
        <v>86</v>
      </c>
      <c r="E4" s="1" t="s">
        <v>92</v>
      </c>
      <c r="F4" s="1" t="s">
        <v>88</v>
      </c>
    </row>
    <row r="5" spans="1:6" x14ac:dyDescent="0.15">
      <c r="A5" s="1" t="s">
        <v>93</v>
      </c>
      <c r="B5" s="1" t="s">
        <v>84</v>
      </c>
      <c r="C5" s="1" t="s">
        <v>73</v>
      </c>
      <c r="D5" s="1" t="s">
        <v>86</v>
      </c>
      <c r="E5" s="1" t="s">
        <v>92</v>
      </c>
      <c r="F5" s="1" t="s">
        <v>17</v>
      </c>
    </row>
    <row r="6" spans="1:6" x14ac:dyDescent="0.15">
      <c r="A6" s="1" t="s">
        <v>94</v>
      </c>
      <c r="B6" s="1" t="s">
        <v>84</v>
      </c>
      <c r="C6" s="1" t="s">
        <v>95</v>
      </c>
      <c r="D6" s="1" t="s">
        <v>86</v>
      </c>
      <c r="E6" s="1" t="s">
        <v>87</v>
      </c>
      <c r="F6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F283E-77A9-4CD6-AFEB-4E09FA179E35}">
  <dimension ref="A1:G15"/>
  <sheetViews>
    <sheetView showGridLines="0" workbookViewId="0">
      <selection activeCell="D9" sqref="D9"/>
    </sheetView>
  </sheetViews>
  <sheetFormatPr baseColWidth="10" defaultRowHeight="10.5" x14ac:dyDescent="0.15"/>
  <cols>
    <col min="1" max="1" width="14.7109375" style="1" customWidth="1"/>
    <col min="2" max="2" width="70.140625" style="1" customWidth="1"/>
    <col min="3" max="3" width="48.5703125" style="1" customWidth="1"/>
    <col min="4" max="4" width="35.140625" style="1" customWidth="1"/>
    <col min="5" max="5" width="16.42578125" style="1" customWidth="1"/>
    <col min="6" max="6" width="21.7109375" style="1" hidden="1" customWidth="1"/>
    <col min="7" max="7" width="13.28515625" style="1" hidden="1" customWidth="1"/>
    <col min="8" max="16384" width="11.42578125" style="1"/>
  </cols>
  <sheetData>
    <row r="1" spans="1:7" x14ac:dyDescent="0.1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</row>
    <row r="2" spans="1:7" x14ac:dyDescent="0.15">
      <c r="A2" s="1" t="s">
        <v>103</v>
      </c>
      <c r="B2" s="1" t="s">
        <v>104</v>
      </c>
      <c r="C2" s="1" t="s">
        <v>106</v>
      </c>
      <c r="D2" s="1" t="s">
        <v>107</v>
      </c>
      <c r="E2" s="1" t="s">
        <v>108</v>
      </c>
      <c r="F2" s="1" t="s">
        <v>109</v>
      </c>
      <c r="G2" s="1" t="s">
        <v>110</v>
      </c>
    </row>
    <row r="3" spans="1:7" x14ac:dyDescent="0.15">
      <c r="A3" s="1" t="s">
        <v>103</v>
      </c>
      <c r="B3" s="1" t="s">
        <v>104</v>
      </c>
      <c r="C3" s="1" t="s">
        <v>106</v>
      </c>
      <c r="D3" s="1" t="s">
        <v>111</v>
      </c>
      <c r="E3" s="1" t="s">
        <v>108</v>
      </c>
      <c r="F3" s="1" t="s">
        <v>109</v>
      </c>
      <c r="G3" s="1" t="s">
        <v>112</v>
      </c>
    </row>
    <row r="4" spans="1:7" x14ac:dyDescent="0.15">
      <c r="A4" s="1" t="s">
        <v>103</v>
      </c>
      <c r="B4" s="1" t="s">
        <v>104</v>
      </c>
      <c r="C4" s="1" t="s">
        <v>106</v>
      </c>
      <c r="D4" s="1" t="s">
        <v>113</v>
      </c>
      <c r="E4" s="1" t="s">
        <v>108</v>
      </c>
      <c r="F4" s="1" t="s">
        <v>109</v>
      </c>
      <c r="G4" s="1" t="s">
        <v>114</v>
      </c>
    </row>
    <row r="5" spans="1:7" hidden="1" x14ac:dyDescent="0.15">
      <c r="A5" s="1" t="s">
        <v>103</v>
      </c>
      <c r="B5" s="1" t="s">
        <v>115</v>
      </c>
      <c r="C5" s="1" t="s">
        <v>117</v>
      </c>
      <c r="D5" s="1" t="s">
        <v>116</v>
      </c>
      <c r="E5" s="1" t="s">
        <v>118</v>
      </c>
      <c r="F5" s="1" t="s">
        <v>119</v>
      </c>
      <c r="G5" s="1" t="s">
        <v>120</v>
      </c>
    </row>
    <row r="6" spans="1:7" hidden="1" x14ac:dyDescent="0.15">
      <c r="A6" s="1" t="s">
        <v>103</v>
      </c>
      <c r="B6" s="1" t="s">
        <v>115</v>
      </c>
      <c r="C6" s="1" t="s">
        <v>117</v>
      </c>
      <c r="D6" s="1" t="s">
        <v>116</v>
      </c>
      <c r="E6" s="1" t="s">
        <v>118</v>
      </c>
      <c r="F6" s="1" t="s">
        <v>119</v>
      </c>
      <c r="G6" s="1" t="s">
        <v>121</v>
      </c>
    </row>
    <row r="7" spans="1:7" x14ac:dyDescent="0.15">
      <c r="A7" s="1" t="s">
        <v>103</v>
      </c>
      <c r="B7" s="1" t="s">
        <v>104</v>
      </c>
      <c r="C7" s="1" t="s">
        <v>123</v>
      </c>
      <c r="D7" s="1" t="s">
        <v>124</v>
      </c>
      <c r="E7" s="1" t="s">
        <v>108</v>
      </c>
      <c r="F7" s="1" t="s">
        <v>125</v>
      </c>
      <c r="G7" s="1" t="s">
        <v>126</v>
      </c>
    </row>
    <row r="8" spans="1:7" x14ac:dyDescent="0.15">
      <c r="A8" s="1" t="s">
        <v>103</v>
      </c>
      <c r="B8" s="1" t="s">
        <v>104</v>
      </c>
      <c r="C8" s="1" t="s">
        <v>123</v>
      </c>
      <c r="D8" s="1" t="s">
        <v>127</v>
      </c>
      <c r="E8" s="1" t="s">
        <v>108</v>
      </c>
      <c r="F8" s="1" t="s">
        <v>125</v>
      </c>
      <c r="G8" s="1" t="s">
        <v>128</v>
      </c>
    </row>
    <row r="9" spans="1:7" x14ac:dyDescent="0.15">
      <c r="A9" s="1" t="s">
        <v>103</v>
      </c>
      <c r="B9" s="1" t="s">
        <v>104</v>
      </c>
      <c r="C9" s="1" t="s">
        <v>123</v>
      </c>
      <c r="D9" s="1" t="s">
        <v>111</v>
      </c>
      <c r="E9" s="1" t="s">
        <v>108</v>
      </c>
      <c r="F9" s="1" t="s">
        <v>125</v>
      </c>
      <c r="G9" s="1" t="s">
        <v>129</v>
      </c>
    </row>
    <row r="10" spans="1:7" hidden="1" x14ac:dyDescent="0.15">
      <c r="A10" s="1" t="s">
        <v>103</v>
      </c>
      <c r="B10" s="1" t="s">
        <v>130</v>
      </c>
      <c r="C10" s="1" t="s">
        <v>123</v>
      </c>
      <c r="D10" s="1" t="s">
        <v>122</v>
      </c>
      <c r="E10" s="1" t="s">
        <v>118</v>
      </c>
      <c r="F10" s="1" t="s">
        <v>131</v>
      </c>
      <c r="G10" s="1" t="s">
        <v>132</v>
      </c>
    </row>
    <row r="11" spans="1:7" hidden="1" x14ac:dyDescent="0.15">
      <c r="A11" s="1" t="s">
        <v>103</v>
      </c>
      <c r="B11" s="1" t="s">
        <v>115</v>
      </c>
      <c r="C11" s="1" t="s">
        <v>123</v>
      </c>
      <c r="D11" s="1" t="s">
        <v>122</v>
      </c>
      <c r="E11" s="1" t="s">
        <v>118</v>
      </c>
      <c r="F11" s="1" t="s">
        <v>119</v>
      </c>
      <c r="G11" s="1" t="s">
        <v>133</v>
      </c>
    </row>
    <row r="12" spans="1:7" hidden="1" x14ac:dyDescent="0.15">
      <c r="A12" s="1" t="s">
        <v>103</v>
      </c>
      <c r="B12" s="1" t="s">
        <v>115</v>
      </c>
      <c r="C12" s="1" t="s">
        <v>123</v>
      </c>
      <c r="D12" s="1" t="s">
        <v>122</v>
      </c>
      <c r="E12" s="1" t="s">
        <v>118</v>
      </c>
      <c r="F12" s="1" t="s">
        <v>119</v>
      </c>
      <c r="G12" s="1" t="s">
        <v>134</v>
      </c>
    </row>
    <row r="13" spans="1:7" hidden="1" x14ac:dyDescent="0.15">
      <c r="A13" s="1" t="s">
        <v>103</v>
      </c>
      <c r="B13" s="1" t="s">
        <v>115</v>
      </c>
      <c r="C13" s="1" t="s">
        <v>123</v>
      </c>
      <c r="D13" s="1" t="s">
        <v>122</v>
      </c>
      <c r="E13" s="1" t="s">
        <v>118</v>
      </c>
      <c r="F13" s="1" t="s">
        <v>119</v>
      </c>
      <c r="G13" s="1" t="s">
        <v>135</v>
      </c>
    </row>
    <row r="14" spans="1:7" hidden="1" x14ac:dyDescent="0.15">
      <c r="A14" s="1" t="s">
        <v>103</v>
      </c>
      <c r="B14" s="1" t="s">
        <v>115</v>
      </c>
      <c r="C14" s="1" t="s">
        <v>106</v>
      </c>
      <c r="D14" s="1" t="s">
        <v>105</v>
      </c>
      <c r="E14" s="1" t="s">
        <v>118</v>
      </c>
      <c r="F14" s="1" t="s">
        <v>119</v>
      </c>
      <c r="G14" s="1" t="s">
        <v>120</v>
      </c>
    </row>
    <row r="15" spans="1:7" hidden="1" x14ac:dyDescent="0.15">
      <c r="A15" s="1" t="s">
        <v>103</v>
      </c>
      <c r="B15" s="1" t="s">
        <v>115</v>
      </c>
      <c r="C15" s="1" t="s">
        <v>106</v>
      </c>
      <c r="D15" s="1" t="s">
        <v>105</v>
      </c>
      <c r="E15" s="1" t="s">
        <v>118</v>
      </c>
      <c r="F15" s="1" t="s">
        <v>119</v>
      </c>
      <c r="G15" s="1" t="s">
        <v>136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67936-16FC-4D4C-BF4B-5E348BF54C48}">
  <dimension ref="B3:G18"/>
  <sheetViews>
    <sheetView showGridLines="0" tabSelected="1" workbookViewId="0">
      <selection activeCell="L16" sqref="L16:L17"/>
    </sheetView>
  </sheetViews>
  <sheetFormatPr baseColWidth="10" defaultRowHeight="10.5" x14ac:dyDescent="0.15"/>
  <cols>
    <col min="1" max="1" width="11.42578125" style="1"/>
    <col min="2" max="2" width="23" style="1" customWidth="1"/>
    <col min="3" max="3" width="13.28515625" style="1" customWidth="1"/>
    <col min="4" max="4" width="21.140625" style="10" customWidth="1"/>
    <col min="5" max="5" width="12.7109375" style="1" customWidth="1"/>
    <col min="6" max="6" width="16.140625" style="10" customWidth="1"/>
    <col min="7" max="7" width="12.140625" style="1" bestFit="1" customWidth="1"/>
    <col min="8" max="16384" width="11.42578125" style="1"/>
  </cols>
  <sheetData>
    <row r="3" spans="2:7" ht="11.25" thickBot="1" x14ac:dyDescent="0.2"/>
    <row r="4" spans="2:7" ht="32.25" thickBot="1" x14ac:dyDescent="0.2">
      <c r="B4" s="24" t="s">
        <v>351</v>
      </c>
      <c r="C4" s="25" t="s">
        <v>358</v>
      </c>
      <c r="D4" s="24" t="s">
        <v>368</v>
      </c>
      <c r="E4" s="26" t="s">
        <v>359</v>
      </c>
      <c r="F4" s="24" t="s">
        <v>368</v>
      </c>
      <c r="G4" s="26" t="s">
        <v>363</v>
      </c>
    </row>
    <row r="5" spans="2:7" x14ac:dyDescent="0.15">
      <c r="B5" s="14" t="s">
        <v>352</v>
      </c>
      <c r="C5" s="20">
        <f>+Tabla1[[#Totals],[PVP Aprox Men.]]</f>
        <v>623.52</v>
      </c>
      <c r="D5" s="34" t="s">
        <v>360</v>
      </c>
      <c r="E5" s="21">
        <f>+Tabla1[[#Totals],[PVP aprox Men.2]]</f>
        <v>601.14</v>
      </c>
      <c r="F5" s="34" t="s">
        <v>362</v>
      </c>
      <c r="G5" s="21">
        <f>+Tabla1[[#Totals],[IR]]</f>
        <v>472.31</v>
      </c>
    </row>
    <row r="6" spans="2:7" x14ac:dyDescent="0.15">
      <c r="B6" s="14" t="s">
        <v>353</v>
      </c>
      <c r="C6" s="20">
        <f>+Tabla2[[#Totals],[PVP Aprox Mensual]]</f>
        <v>8.91</v>
      </c>
      <c r="D6" s="34" t="s">
        <v>361</v>
      </c>
      <c r="E6" s="21" t="s">
        <v>68</v>
      </c>
      <c r="F6" s="34" t="s">
        <v>361</v>
      </c>
      <c r="G6" s="21" t="s">
        <v>68</v>
      </c>
    </row>
    <row r="7" spans="2:7" x14ac:dyDescent="0.15">
      <c r="B7" s="14" t="s">
        <v>354</v>
      </c>
      <c r="C7" s="20">
        <f>+Tabla3[[#Totals],[PVP Aprox. Mensual]]</f>
        <v>1711.85</v>
      </c>
      <c r="D7" s="34" t="s">
        <v>362</v>
      </c>
      <c r="E7" s="21">
        <f>+Tabla3[[#Totals],[PVP Aprox IR Mensual]]</f>
        <v>1095</v>
      </c>
      <c r="F7" s="34" t="s">
        <v>362</v>
      </c>
      <c r="G7" s="21">
        <f>+E7</f>
        <v>1095</v>
      </c>
    </row>
    <row r="8" spans="2:7" x14ac:dyDescent="0.15">
      <c r="B8" s="14" t="s">
        <v>355</v>
      </c>
      <c r="C8" s="20">
        <f>+Tabla10[[#Totals],[PVP Aprox. Mens.]]</f>
        <v>214.4</v>
      </c>
      <c r="D8" s="34" t="s">
        <v>361</v>
      </c>
      <c r="E8" s="21" t="s">
        <v>68</v>
      </c>
      <c r="F8" s="34" t="s">
        <v>361</v>
      </c>
      <c r="G8" s="21" t="s">
        <v>68</v>
      </c>
    </row>
    <row r="9" spans="2:7" x14ac:dyDescent="0.15">
      <c r="B9" s="14" t="s">
        <v>356</v>
      </c>
      <c r="C9" s="20">
        <f>+Tabla10[[#Totals],[PVP Aprox. Mens.]]</f>
        <v>214.4</v>
      </c>
      <c r="D9" s="34" t="s">
        <v>361</v>
      </c>
      <c r="E9" s="21" t="s">
        <v>68</v>
      </c>
      <c r="F9" s="34" t="s">
        <v>361</v>
      </c>
      <c r="G9" s="21" t="s">
        <v>68</v>
      </c>
    </row>
    <row r="10" spans="2:7" x14ac:dyDescent="0.15">
      <c r="B10" s="14" t="s">
        <v>392</v>
      </c>
      <c r="C10" s="20">
        <f>+Tabla9[[#Totals],[PVP Aprox '# Instancia]]</f>
        <v>4480.74</v>
      </c>
      <c r="D10" s="34" t="s">
        <v>362</v>
      </c>
      <c r="E10" s="21">
        <f>+Tabla9[[#Totals],[PVP Aprox. IR]]</f>
        <v>3468.3</v>
      </c>
      <c r="F10" s="34" t="s">
        <v>362</v>
      </c>
      <c r="G10" s="21">
        <f>+E10</f>
        <v>3468.3</v>
      </c>
    </row>
    <row r="11" spans="2:7" ht="11.25" thickBot="1" x14ac:dyDescent="0.2">
      <c r="B11" s="15" t="s">
        <v>357</v>
      </c>
      <c r="C11" s="22">
        <f>+Tabla7[[#Totals],[PVP Aprom. Mens.]]</f>
        <v>1339.92</v>
      </c>
      <c r="D11" s="35" t="s">
        <v>362</v>
      </c>
      <c r="E11" s="23">
        <f>+Tabla7[[#Totals],[PVP Aprox IR Mens.]]</f>
        <v>966.24</v>
      </c>
      <c r="F11" s="35" t="s">
        <v>362</v>
      </c>
      <c r="G11" s="23">
        <f>+E11</f>
        <v>966.24</v>
      </c>
    </row>
    <row r="12" spans="2:7" ht="11.25" thickBot="1" x14ac:dyDescent="0.2">
      <c r="D12" s="34"/>
      <c r="E12" s="36"/>
      <c r="F12" s="34"/>
      <c r="G12" s="36"/>
    </row>
    <row r="13" spans="2:7" x14ac:dyDescent="0.15">
      <c r="B13" s="11" t="s">
        <v>365</v>
      </c>
      <c r="C13" s="12">
        <f>SUM(C5:C12)</f>
        <v>8593.74</v>
      </c>
      <c r="D13" s="37"/>
      <c r="E13" s="13">
        <f>SUM(E5:E12)</f>
        <v>6130.68</v>
      </c>
      <c r="F13" s="37"/>
      <c r="G13" s="13">
        <f>SUM(G5:G12)</f>
        <v>6001.85</v>
      </c>
    </row>
    <row r="14" spans="2:7" x14ac:dyDescent="0.15">
      <c r="B14" s="33" t="s">
        <v>366</v>
      </c>
      <c r="C14" s="28"/>
      <c r="D14" s="38"/>
      <c r="E14" s="29">
        <f>+C13-E13</f>
        <v>2463.0599999999995</v>
      </c>
      <c r="F14" s="38"/>
      <c r="G14" s="29">
        <f>+C13-G13</f>
        <v>2591.8899999999994</v>
      </c>
    </row>
    <row r="15" spans="2:7" ht="11.25" thickBot="1" x14ac:dyDescent="0.2">
      <c r="B15" s="15"/>
      <c r="C15" s="16"/>
      <c r="D15" s="35"/>
      <c r="E15" s="17"/>
      <c r="F15" s="35"/>
      <c r="G15" s="17"/>
    </row>
    <row r="16" spans="2:7" ht="11.25" thickBot="1" x14ac:dyDescent="0.2">
      <c r="D16" s="34"/>
      <c r="E16" s="36"/>
      <c r="F16" s="34"/>
      <c r="G16" s="36"/>
    </row>
    <row r="17" spans="2:7" x14ac:dyDescent="0.15">
      <c r="B17" s="11" t="s">
        <v>364</v>
      </c>
      <c r="C17" s="18">
        <f>+C13*12</f>
        <v>103124.88</v>
      </c>
      <c r="D17" s="39"/>
      <c r="E17" s="19">
        <f>+E13*12</f>
        <v>73568.160000000003</v>
      </c>
      <c r="F17" s="39"/>
      <c r="G17" s="19">
        <f>+G13*12</f>
        <v>72022.200000000012</v>
      </c>
    </row>
    <row r="18" spans="2:7" ht="11.25" thickBot="1" x14ac:dyDescent="0.2">
      <c r="B18" s="31" t="s">
        <v>367</v>
      </c>
      <c r="C18" s="32"/>
      <c r="D18" s="40"/>
      <c r="E18" s="30">
        <f>+C17-E17</f>
        <v>29556.720000000001</v>
      </c>
      <c r="F18" s="40"/>
      <c r="G18" s="30">
        <f>+C17-G17</f>
        <v>31102.679999999993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084B0-822A-4816-8ADB-227EF0312DD0}">
  <dimension ref="A1:H32"/>
  <sheetViews>
    <sheetView showGridLines="0" workbookViewId="0">
      <selection activeCell="K20" sqref="K20"/>
    </sheetView>
  </sheetViews>
  <sheetFormatPr baseColWidth="10" defaultRowHeight="10.5" x14ac:dyDescent="0.15"/>
  <cols>
    <col min="1" max="1" width="26.7109375" style="1" bestFit="1" customWidth="1"/>
    <col min="2" max="2" width="12.7109375" style="1" customWidth="1"/>
    <col min="3" max="3" width="13.42578125" style="1" bestFit="1" customWidth="1"/>
    <col min="4" max="4" width="118.28515625" style="1" hidden="1" customWidth="1"/>
    <col min="5" max="5" width="17" style="1" bestFit="1" customWidth="1"/>
    <col min="6" max="6" width="18.85546875" style="1" customWidth="1"/>
    <col min="7" max="7" width="12.7109375" style="1" customWidth="1"/>
    <col min="8" max="8" width="26" style="1" hidden="1" customWidth="1"/>
    <col min="9" max="16384" width="11.42578125" style="1"/>
  </cols>
  <sheetData>
    <row r="1" spans="1:8" x14ac:dyDescent="0.15">
      <c r="A1" s="1" t="s">
        <v>0</v>
      </c>
      <c r="B1" s="1" t="s">
        <v>168</v>
      </c>
      <c r="C1" s="1" t="s">
        <v>169</v>
      </c>
      <c r="D1" s="1" t="s">
        <v>170</v>
      </c>
      <c r="E1" s="1" t="s">
        <v>1</v>
      </c>
      <c r="F1" s="1" t="s">
        <v>2</v>
      </c>
      <c r="G1" s="1" t="s">
        <v>171</v>
      </c>
      <c r="H1" s="1" t="s">
        <v>81</v>
      </c>
    </row>
    <row r="2" spans="1:8" x14ac:dyDescent="0.15">
      <c r="A2" s="1" t="s">
        <v>137</v>
      </c>
      <c r="B2" s="1" t="s">
        <v>172</v>
      </c>
      <c r="C2" s="1" t="s">
        <v>173</v>
      </c>
      <c r="D2" s="1" t="s">
        <v>174</v>
      </c>
      <c r="E2" s="1" t="s">
        <v>17</v>
      </c>
      <c r="F2" s="1" t="s">
        <v>73</v>
      </c>
      <c r="G2" s="1" t="s">
        <v>175</v>
      </c>
      <c r="H2" s="1" t="s">
        <v>176</v>
      </c>
    </row>
    <row r="3" spans="1:8" x14ac:dyDescent="0.15">
      <c r="A3" s="1" t="s">
        <v>138</v>
      </c>
      <c r="B3" s="1" t="s">
        <v>172</v>
      </c>
      <c r="C3" s="1" t="s">
        <v>173</v>
      </c>
      <c r="D3" s="1" t="s">
        <v>177</v>
      </c>
      <c r="E3" s="1" t="s">
        <v>17</v>
      </c>
      <c r="F3" s="1" t="s">
        <v>73</v>
      </c>
      <c r="H3" s="1" t="s">
        <v>176</v>
      </c>
    </row>
    <row r="4" spans="1:8" x14ac:dyDescent="0.15">
      <c r="A4" s="1" t="s">
        <v>139</v>
      </c>
      <c r="B4" s="1" t="s">
        <v>172</v>
      </c>
      <c r="C4" s="1" t="s">
        <v>173</v>
      </c>
      <c r="D4" s="1" t="s">
        <v>178</v>
      </c>
      <c r="E4" s="1" t="s">
        <v>17</v>
      </c>
      <c r="F4" s="1" t="s">
        <v>73</v>
      </c>
      <c r="H4" s="1" t="s">
        <v>176</v>
      </c>
    </row>
    <row r="5" spans="1:8" x14ac:dyDescent="0.15">
      <c r="A5" s="1" t="s">
        <v>140</v>
      </c>
      <c r="B5" s="1" t="s">
        <v>172</v>
      </c>
      <c r="C5" s="1" t="s">
        <v>173</v>
      </c>
      <c r="D5" s="1" t="s">
        <v>179</v>
      </c>
      <c r="E5" s="1" t="s">
        <v>88</v>
      </c>
      <c r="F5" s="1" t="s">
        <v>67</v>
      </c>
      <c r="H5" s="1" t="s">
        <v>176</v>
      </c>
    </row>
    <row r="6" spans="1:8" x14ac:dyDescent="0.15">
      <c r="A6" s="1" t="s">
        <v>141</v>
      </c>
      <c r="B6" s="1" t="s">
        <v>172</v>
      </c>
      <c r="C6" s="1" t="s">
        <v>173</v>
      </c>
      <c r="D6" s="1" t="s">
        <v>180</v>
      </c>
      <c r="E6" s="1" t="s">
        <v>181</v>
      </c>
      <c r="F6" s="1" t="s">
        <v>182</v>
      </c>
      <c r="H6" s="1" t="s">
        <v>176</v>
      </c>
    </row>
    <row r="7" spans="1:8" x14ac:dyDescent="0.15">
      <c r="A7" s="1" t="s">
        <v>142</v>
      </c>
      <c r="B7" s="1" t="s">
        <v>172</v>
      </c>
      <c r="C7" s="1" t="s">
        <v>173</v>
      </c>
      <c r="D7" s="1" t="s">
        <v>183</v>
      </c>
      <c r="E7" s="1" t="s">
        <v>17</v>
      </c>
      <c r="F7" s="1" t="s">
        <v>73</v>
      </c>
      <c r="H7" s="1" t="s">
        <v>176</v>
      </c>
    </row>
    <row r="8" spans="1:8" x14ac:dyDescent="0.15">
      <c r="A8" s="1" t="s">
        <v>143</v>
      </c>
      <c r="B8" s="1" t="s">
        <v>172</v>
      </c>
      <c r="C8" s="1" t="s">
        <v>173</v>
      </c>
      <c r="D8" s="1" t="s">
        <v>184</v>
      </c>
      <c r="E8" s="1" t="s">
        <v>88</v>
      </c>
      <c r="F8" s="1" t="s">
        <v>67</v>
      </c>
      <c r="H8" s="1" t="s">
        <v>176</v>
      </c>
    </row>
    <row r="9" spans="1:8" x14ac:dyDescent="0.15">
      <c r="A9" s="1" t="s">
        <v>144</v>
      </c>
      <c r="B9" s="1" t="s">
        <v>172</v>
      </c>
      <c r="C9" s="1" t="s">
        <v>173</v>
      </c>
      <c r="D9" s="1" t="s">
        <v>185</v>
      </c>
      <c r="E9" s="1" t="s">
        <v>181</v>
      </c>
      <c r="F9" s="1" t="s">
        <v>182</v>
      </c>
      <c r="G9" s="1" t="s">
        <v>175</v>
      </c>
      <c r="H9" s="1" t="s">
        <v>176</v>
      </c>
    </row>
    <row r="10" spans="1:8" x14ac:dyDescent="0.15">
      <c r="A10" s="1" t="s">
        <v>145</v>
      </c>
      <c r="B10" s="1" t="s">
        <v>35</v>
      </c>
      <c r="C10" s="1" t="s">
        <v>186</v>
      </c>
      <c r="D10" s="1" t="s">
        <v>187</v>
      </c>
      <c r="E10" s="1" t="s">
        <v>88</v>
      </c>
      <c r="F10" s="1" t="s">
        <v>67</v>
      </c>
      <c r="G10" s="1" t="s">
        <v>188</v>
      </c>
      <c r="H10" s="1" t="s">
        <v>176</v>
      </c>
    </row>
    <row r="11" spans="1:8" x14ac:dyDescent="0.15">
      <c r="A11" s="1" t="s">
        <v>146</v>
      </c>
      <c r="B11" s="1" t="s">
        <v>172</v>
      </c>
      <c r="C11" s="1" t="s">
        <v>173</v>
      </c>
      <c r="D11" s="1" t="s">
        <v>189</v>
      </c>
      <c r="E11" s="1" t="s">
        <v>17</v>
      </c>
      <c r="F11" s="1" t="s">
        <v>73</v>
      </c>
      <c r="H11" s="1" t="s">
        <v>176</v>
      </c>
    </row>
    <row r="12" spans="1:8" x14ac:dyDescent="0.15">
      <c r="A12" s="1" t="s">
        <v>147</v>
      </c>
      <c r="B12" s="1" t="s">
        <v>35</v>
      </c>
      <c r="C12" s="1" t="s">
        <v>186</v>
      </c>
      <c r="D12" s="1" t="s">
        <v>190</v>
      </c>
      <c r="E12" s="1" t="s">
        <v>181</v>
      </c>
      <c r="F12" s="1" t="s">
        <v>182</v>
      </c>
      <c r="G12" s="1" t="s">
        <v>191</v>
      </c>
      <c r="H12" s="1" t="s">
        <v>176</v>
      </c>
    </row>
    <row r="13" spans="1:8" x14ac:dyDescent="0.15">
      <c r="A13" s="1" t="s">
        <v>148</v>
      </c>
      <c r="B13" s="1" t="s">
        <v>35</v>
      </c>
      <c r="C13" s="1" t="s">
        <v>186</v>
      </c>
      <c r="D13" s="1" t="s">
        <v>192</v>
      </c>
      <c r="E13" s="1" t="s">
        <v>17</v>
      </c>
      <c r="F13" s="1" t="s">
        <v>73</v>
      </c>
      <c r="G13" s="1" t="s">
        <v>188</v>
      </c>
      <c r="H13" s="1" t="s">
        <v>176</v>
      </c>
    </row>
    <row r="14" spans="1:8" x14ac:dyDescent="0.15">
      <c r="A14" s="1" t="s">
        <v>149</v>
      </c>
      <c r="B14" s="1" t="s">
        <v>193</v>
      </c>
      <c r="C14" s="1" t="s">
        <v>194</v>
      </c>
      <c r="D14" s="1" t="s">
        <v>195</v>
      </c>
      <c r="E14" s="1" t="s">
        <v>17</v>
      </c>
      <c r="F14" s="1" t="s">
        <v>73</v>
      </c>
      <c r="G14" s="1" t="s">
        <v>196</v>
      </c>
      <c r="H14" s="1" t="s">
        <v>176</v>
      </c>
    </row>
    <row r="15" spans="1:8" x14ac:dyDescent="0.15">
      <c r="A15" s="1" t="s">
        <v>150</v>
      </c>
      <c r="B15" s="1" t="s">
        <v>193</v>
      </c>
      <c r="C15" s="1" t="s">
        <v>194</v>
      </c>
      <c r="D15" s="1" t="s">
        <v>197</v>
      </c>
      <c r="E15" s="1" t="s">
        <v>88</v>
      </c>
      <c r="F15" s="1" t="s">
        <v>67</v>
      </c>
      <c r="H15" s="1" t="s">
        <v>176</v>
      </c>
    </row>
    <row r="16" spans="1:8" x14ac:dyDescent="0.15">
      <c r="A16" s="1" t="s">
        <v>151</v>
      </c>
      <c r="B16" s="1" t="s">
        <v>172</v>
      </c>
      <c r="C16" s="1" t="s">
        <v>173</v>
      </c>
      <c r="D16" s="1" t="s">
        <v>198</v>
      </c>
      <c r="E16" s="1" t="s">
        <v>88</v>
      </c>
      <c r="F16" s="1" t="s">
        <v>67</v>
      </c>
      <c r="H16" s="1" t="s">
        <v>176</v>
      </c>
    </row>
    <row r="17" spans="1:8" x14ac:dyDescent="0.15">
      <c r="A17" s="1" t="s">
        <v>152</v>
      </c>
      <c r="B17" s="1" t="s">
        <v>172</v>
      </c>
      <c r="C17" s="1" t="s">
        <v>173</v>
      </c>
      <c r="D17" s="1" t="s">
        <v>199</v>
      </c>
      <c r="E17" s="1" t="s">
        <v>181</v>
      </c>
      <c r="F17" s="1" t="s">
        <v>182</v>
      </c>
      <c r="G17" s="1" t="s">
        <v>196</v>
      </c>
      <c r="H17" s="1" t="s">
        <v>176</v>
      </c>
    </row>
    <row r="18" spans="1:8" x14ac:dyDescent="0.15">
      <c r="A18" s="1" t="s">
        <v>153</v>
      </c>
      <c r="B18" s="1" t="s">
        <v>172</v>
      </c>
      <c r="C18" s="1" t="s">
        <v>173</v>
      </c>
      <c r="D18" s="1" t="s">
        <v>200</v>
      </c>
      <c r="E18" s="1" t="s">
        <v>17</v>
      </c>
      <c r="F18" s="1" t="s">
        <v>73</v>
      </c>
      <c r="G18" s="1" t="s">
        <v>196</v>
      </c>
      <c r="H18" s="1" t="s">
        <v>176</v>
      </c>
    </row>
    <row r="19" spans="1:8" x14ac:dyDescent="0.15">
      <c r="A19" s="1" t="s">
        <v>154</v>
      </c>
      <c r="B19" s="1" t="s">
        <v>172</v>
      </c>
      <c r="C19" s="1" t="s">
        <v>173</v>
      </c>
      <c r="D19" s="1" t="s">
        <v>201</v>
      </c>
      <c r="E19" s="1" t="s">
        <v>17</v>
      </c>
      <c r="F19" s="1" t="s">
        <v>73</v>
      </c>
      <c r="G19" s="1" t="s">
        <v>196</v>
      </c>
      <c r="H19" s="1" t="s">
        <v>176</v>
      </c>
    </row>
    <row r="20" spans="1:8" x14ac:dyDescent="0.15">
      <c r="A20" s="1" t="s">
        <v>155</v>
      </c>
      <c r="B20" s="1" t="s">
        <v>172</v>
      </c>
      <c r="C20" s="1" t="s">
        <v>173</v>
      </c>
      <c r="D20" s="1" t="s">
        <v>202</v>
      </c>
      <c r="E20" s="1" t="s">
        <v>88</v>
      </c>
      <c r="F20" s="1" t="s">
        <v>67</v>
      </c>
      <c r="H20" s="1" t="s">
        <v>176</v>
      </c>
    </row>
    <row r="21" spans="1:8" x14ac:dyDescent="0.15">
      <c r="A21" s="1" t="s">
        <v>156</v>
      </c>
      <c r="B21" s="1" t="s">
        <v>172</v>
      </c>
      <c r="C21" s="1" t="s">
        <v>173</v>
      </c>
      <c r="D21" s="1" t="s">
        <v>203</v>
      </c>
      <c r="E21" s="1" t="s">
        <v>181</v>
      </c>
      <c r="F21" s="1" t="s">
        <v>182</v>
      </c>
      <c r="G21" s="1" t="s">
        <v>196</v>
      </c>
      <c r="H21" s="1" t="s">
        <v>176</v>
      </c>
    </row>
    <row r="22" spans="1:8" x14ac:dyDescent="0.15">
      <c r="A22" s="1" t="s">
        <v>157</v>
      </c>
      <c r="B22" s="1" t="s">
        <v>172</v>
      </c>
      <c r="C22" s="1" t="s">
        <v>173</v>
      </c>
      <c r="D22" s="1" t="s">
        <v>204</v>
      </c>
      <c r="E22" s="1" t="s">
        <v>17</v>
      </c>
      <c r="F22" s="1" t="s">
        <v>73</v>
      </c>
      <c r="G22" s="1" t="s">
        <v>196</v>
      </c>
      <c r="H22" s="1" t="s">
        <v>176</v>
      </c>
    </row>
    <row r="23" spans="1:8" x14ac:dyDescent="0.15">
      <c r="A23" s="1" t="s">
        <v>158</v>
      </c>
      <c r="B23" s="1" t="s">
        <v>172</v>
      </c>
      <c r="C23" s="1" t="s">
        <v>173</v>
      </c>
      <c r="D23" s="1" t="s">
        <v>205</v>
      </c>
      <c r="E23" s="1" t="s">
        <v>88</v>
      </c>
      <c r="F23" s="1" t="s">
        <v>67</v>
      </c>
      <c r="H23" s="1" t="s">
        <v>176</v>
      </c>
    </row>
    <row r="24" spans="1:8" x14ac:dyDescent="0.15">
      <c r="A24" s="1" t="s">
        <v>159</v>
      </c>
      <c r="B24" s="1" t="s">
        <v>172</v>
      </c>
      <c r="C24" s="1" t="s">
        <v>173</v>
      </c>
      <c r="D24" s="1" t="s">
        <v>206</v>
      </c>
      <c r="E24" s="1" t="s">
        <v>181</v>
      </c>
      <c r="F24" s="1" t="s">
        <v>182</v>
      </c>
      <c r="G24" s="1" t="s">
        <v>196</v>
      </c>
      <c r="H24" s="1" t="s">
        <v>176</v>
      </c>
    </row>
    <row r="25" spans="1:8" x14ac:dyDescent="0.15">
      <c r="A25" s="1" t="s">
        <v>160</v>
      </c>
      <c r="B25" s="1" t="s">
        <v>172</v>
      </c>
      <c r="C25" s="1" t="s">
        <v>173</v>
      </c>
      <c r="D25" s="1" t="s">
        <v>207</v>
      </c>
      <c r="E25" s="1" t="s">
        <v>17</v>
      </c>
      <c r="F25" s="1" t="s">
        <v>73</v>
      </c>
      <c r="G25" s="1" t="s">
        <v>196</v>
      </c>
      <c r="H25" s="1" t="s">
        <v>176</v>
      </c>
    </row>
    <row r="26" spans="1:8" x14ac:dyDescent="0.15">
      <c r="A26" s="1" t="s">
        <v>161</v>
      </c>
      <c r="B26" s="1" t="s">
        <v>172</v>
      </c>
      <c r="C26" s="1" t="s">
        <v>173</v>
      </c>
      <c r="D26" s="1" t="s">
        <v>208</v>
      </c>
      <c r="E26" s="1" t="s">
        <v>88</v>
      </c>
      <c r="F26" s="1" t="s">
        <v>90</v>
      </c>
      <c r="H26" s="1" t="s">
        <v>176</v>
      </c>
    </row>
    <row r="27" spans="1:8" x14ac:dyDescent="0.15">
      <c r="A27" s="1" t="s">
        <v>162</v>
      </c>
      <c r="B27" s="1" t="s">
        <v>172</v>
      </c>
      <c r="C27" s="1" t="s">
        <v>173</v>
      </c>
      <c r="D27" s="1" t="s">
        <v>209</v>
      </c>
      <c r="E27" s="1" t="s">
        <v>88</v>
      </c>
      <c r="F27" s="1" t="s">
        <v>67</v>
      </c>
      <c r="H27" s="1" t="s">
        <v>176</v>
      </c>
    </row>
    <row r="28" spans="1:8" x14ac:dyDescent="0.15">
      <c r="A28" s="1" t="s">
        <v>163</v>
      </c>
      <c r="B28" s="1" t="s">
        <v>172</v>
      </c>
      <c r="C28" s="1" t="s">
        <v>173</v>
      </c>
      <c r="D28" s="1" t="s">
        <v>210</v>
      </c>
      <c r="E28" s="1" t="s">
        <v>181</v>
      </c>
      <c r="F28" s="1" t="s">
        <v>182</v>
      </c>
      <c r="G28" s="1" t="s">
        <v>196</v>
      </c>
      <c r="H28" s="1" t="s">
        <v>176</v>
      </c>
    </row>
    <row r="29" spans="1:8" x14ac:dyDescent="0.15">
      <c r="A29" s="1" t="s">
        <v>164</v>
      </c>
      <c r="B29" s="1" t="s">
        <v>193</v>
      </c>
      <c r="C29" s="1" t="s">
        <v>194</v>
      </c>
      <c r="D29" s="1" t="s">
        <v>211</v>
      </c>
      <c r="E29" s="1" t="s">
        <v>88</v>
      </c>
      <c r="F29" s="1" t="s">
        <v>67</v>
      </c>
      <c r="H29" s="1" t="s">
        <v>176</v>
      </c>
    </row>
    <row r="30" spans="1:8" x14ac:dyDescent="0.15">
      <c r="A30" s="1" t="s">
        <v>165</v>
      </c>
      <c r="B30" s="1" t="s">
        <v>172</v>
      </c>
      <c r="C30" s="1" t="s">
        <v>173</v>
      </c>
      <c r="D30" s="1" t="s">
        <v>212</v>
      </c>
      <c r="E30" s="1" t="s">
        <v>181</v>
      </c>
      <c r="F30" s="1" t="s">
        <v>182</v>
      </c>
      <c r="G30" s="1" t="s">
        <v>175</v>
      </c>
      <c r="H30" s="1" t="s">
        <v>176</v>
      </c>
    </row>
    <row r="31" spans="1:8" x14ac:dyDescent="0.15">
      <c r="A31" s="1" t="s">
        <v>166</v>
      </c>
      <c r="B31" s="1" t="s">
        <v>172</v>
      </c>
      <c r="C31" s="1" t="s">
        <v>173</v>
      </c>
      <c r="D31" s="1" t="s">
        <v>213</v>
      </c>
      <c r="E31" s="1" t="s">
        <v>17</v>
      </c>
      <c r="F31" s="1" t="s">
        <v>73</v>
      </c>
      <c r="G31" s="1" t="s">
        <v>175</v>
      </c>
      <c r="H31" s="1" t="s">
        <v>176</v>
      </c>
    </row>
    <row r="32" spans="1:8" x14ac:dyDescent="0.15">
      <c r="A32" s="1" t="s">
        <v>167</v>
      </c>
      <c r="B32" s="1" t="s">
        <v>172</v>
      </c>
      <c r="C32" s="1" t="s">
        <v>173</v>
      </c>
      <c r="D32" s="1" t="s">
        <v>214</v>
      </c>
      <c r="E32" s="1" t="s">
        <v>17</v>
      </c>
      <c r="F32" s="1" t="s">
        <v>73</v>
      </c>
      <c r="H32" s="1" t="s">
        <v>176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VMs</vt:lpstr>
      <vt:lpstr>IP publicas</vt:lpstr>
      <vt:lpstr>App Services</vt:lpstr>
      <vt:lpstr>Disco</vt:lpstr>
      <vt:lpstr>VMs apagadas</vt:lpstr>
      <vt:lpstr>Scale Set</vt:lpstr>
      <vt:lpstr>PostgreSQL</vt:lpstr>
      <vt:lpstr>Kubernetes</vt:lpstr>
      <vt:lpstr>Advisor</vt:lpstr>
      <vt:lpstr>Detalle</vt:lpstr>
      <vt:lpstr>AzureCDN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DiegoBR</dc:creator>
  <cp:lastModifiedBy>Diego Baque Rosales</cp:lastModifiedBy>
  <dcterms:created xsi:type="dcterms:W3CDTF">2022-04-12T21:49:06Z</dcterms:created>
  <dcterms:modified xsi:type="dcterms:W3CDTF">2022-04-14T18:08:49Z</dcterms:modified>
</cp:coreProperties>
</file>